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a00e377ae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원자료_시간" sheetId="1" r:id="R39f4ce1e7cd94fe2"/>
    <x:sheet xmlns:r="http://schemas.openxmlformats.org/officeDocument/2006/relationships" name="원자료_일" sheetId="2" r:id="Rbe4cba3e6b50444d"/>
    <x:sheet xmlns:r="http://schemas.openxmlformats.org/officeDocument/2006/relationships" name="정제데이터" sheetId="3" r:id="Recd5b17056c146c8"/>
    <x:sheet xmlns:r="http://schemas.openxmlformats.org/officeDocument/2006/relationships" name="일자료" sheetId="4" r:id="Rd467a2914ec74d00"/>
    <x:sheet xmlns:r="http://schemas.openxmlformats.org/officeDocument/2006/relationships" name="README" sheetId="5" r:id="Re2ef9b1b4204471e"/>
    <x:sheet xmlns:r="http://schemas.openxmlformats.org/officeDocument/2006/relationships" name="데이터사전" sheetId="6" r:id="Rad9051d6f82142f6"/>
    <x:sheet xmlns:r="http://schemas.openxmlformats.org/officeDocument/2006/relationships" name="출처" sheetId="7" r:id="R5153133b06b14ba3"/>
    <x:sheet xmlns:r="http://schemas.openxmlformats.org/officeDocument/2006/relationships" name="품질검사" sheetId="8" r:id="R0be0833393ec41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@"/>
    <x:numFmt numFmtId="202" formatCode="0.0"/>
    <x:numFmt numFmtId="203" formatCode="yyyy-mm-dd"/>
  </x:numFmts>
  <x:fonts count="5">
    <x:font>
      <x:sz val="11"/>
      <x:name val="Carlito"/>
    </x:font>
    <x:font>
      <x:sz val="10"/>
      <x:color rgb="FF1F2937"/>
      <x:name val="Aptos"/>
    </x:font>
    <x:font>
      <x:b/>
      <x:sz val="16"/>
      <x:color rgb="FFFFFFFF"/>
      <x:name val="Aptos Display"/>
    </x:font>
    <x:font>
      <x:b/>
      <x:sz val="10"/>
      <x:color rgb="FF0F4C5C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CEFF3"/>
      </x:patternFill>
    </x:fill>
  </x:fills>
  <x:borders count="8">
    <x:border/>
    <x:border/>
    <x:border>
      <x:bottom style="thin">
        <x:color rgb="FFD7E1E5"/>
      </x:bottom>
    </x:border>
    <x:border>
      <x:top style="thin">
        <x:color rgb="FFD7E1E5"/>
      </x:top>
      <x:bottom style="thin">
        <x:color rgb="FFD7E1E5"/>
      </x:bottom>
    </x:border>
    <x:border>
      <x:top style="thin">
        <x:color rgb="FFD7E1E5"/>
      </x:top>
      <x:bottom style="thin">
        <x:color rgb="FFA8B8BF"/>
      </x:bottom>
    </x:border>
    <x:border>
      <x:bottom style="thin">
        <x:color rgb="FFD7E1E5"/>
      </x:bottom>
    </x:border>
    <x:border>
      <x:top style="thin">
        <x:color rgb="FFD7E1E5"/>
      </x:top>
      <x:bottom style="thin">
        <x:color rgb="FFD7E1E5"/>
      </x:bottom>
    </x:border>
    <x:border>
      <x:top style="thin">
        <x:color rgb="FFD7E1E5"/>
      </x:top>
      <x:bottom style="thin">
        <x:color rgb="FFA8B8BF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1" fontId="1" fillId="0" borderId="3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vertical="center" wrapText="1"/>
    </x:xf>
    <x:xf numFmtId="201" fontId="1" fillId="0" borderId="4" xfId="0" applyNumberFormat="1" applyFont="1" applyFill="1" applyBorder="1" applyAlignment="1">
      <x:alignment vertical="center" wrapText="1"/>
    </x:xf>
    <x:xf numFmtId="200" fontId="1" fillId="0" borderId="6" xfId="0" applyNumberFormat="1" applyFont="1" applyFill="1" applyBorder="1" applyAlignment="1">
      <x:alignment vertical="center" wrapText="1"/>
    </x:xf>
    <x:xf numFmtId="201" fontId="1" fillId="0" borderId="6" xfId="0" applyNumberFormat="1" applyFont="1" applyFill="1" applyBorder="1" applyAlignment="1">
      <x:alignment vertical="center" wrapText="1"/>
    </x:xf>
    <x:xf numFmtId="200" fontId="1" fillId="0" borderId="7" xfId="0" applyNumberFormat="1" applyFont="1" applyFill="1" applyBorder="1" applyAlignment="1">
      <x:alignment vertical="center" wrapText="1"/>
    </x:xf>
    <x:xf numFmtId="201" fontId="1" fillId="0" borderId="7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202" fontId="1" fillId="0" borderId="3" xfId="0" applyNumberFormat="1" applyFont="1" applyFill="1" applyBorder="1" applyAlignment="1">
      <x:alignment vertical="center" wrapText="1"/>
    </x:xf>
    <x:xf numFmtId="202" fontId="1" fillId="0" borderId="6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203" fontId="1" fillId="0" borderId="3" xfId="0" applyNumberFormat="1" applyFont="1" applyFill="1" applyBorder="1" applyAlignment="1">
      <x:alignment vertical="center" wrapText="1"/>
    </x:xf>
    <x:xf numFmtId="203" fontId="1" fillId="0" borderId="4" xfId="0" applyNumberFormat="1" applyFont="1" applyFill="1" applyBorder="1" applyAlignment="1">
      <x:alignment vertical="center" wrapText="1"/>
    </x:xf>
    <x:xf numFmtId="203" fontId="1" fillId="0" borderId="6" xfId="0" applyNumberFormat="1" applyFont="1" applyFill="1" applyBorder="1" applyAlignment="1">
      <x:alignment vertical="center" wrapText="1"/>
    </x:xf>
    <x:xf numFmtId="203" fontId="1" fillId="0" borderId="7" xfId="0" applyNumberFormat="1" applyFont="1" applyFill="1" applyBorder="1" applyAlignment="1">
      <x:alignment vertical="center" wrapText="1"/>
    </x:xf>
    <x:xf numFmtId="202" fontId="1" fillId="0" borderId="4" xfId="0" applyNumberFormat="1" applyFont="1" applyFill="1" applyBorder="1" applyAlignment="1">
      <x:alignment vertical="center" wrapText="1"/>
    </x:xf>
    <x:xf numFmtId="202" fontId="1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f687f37aa34941" /><Relationship Type="http://schemas.openxmlformats.org/officeDocument/2006/relationships/theme" Target="/xl/theme/theme1.xml" Id="Rfd8561ed72df42fb" /><Relationship Type="http://schemas.openxmlformats.org/officeDocument/2006/relationships/sharedStrings" Target="/xl/sharedStrings.xml" Id="R25ac3e7e04404a19" /><Relationship Type="http://schemas.openxmlformats.org/officeDocument/2006/relationships/worksheet" Target="/xl/worksheets/sheet1.xml" Id="R39f4ce1e7cd94fe2" /><Relationship Type="http://schemas.openxmlformats.org/officeDocument/2006/relationships/worksheet" Target="/xl/worksheets/sheet2.xml" Id="Rbe4cba3e6b50444d" /><Relationship Type="http://schemas.openxmlformats.org/officeDocument/2006/relationships/worksheet" Target="/xl/worksheets/sheet3.xml" Id="Recd5b17056c146c8" /><Relationship Type="http://schemas.openxmlformats.org/officeDocument/2006/relationships/worksheet" Target="/xl/worksheets/sheet4.xml" Id="Rd467a2914ec74d00" /><Relationship Type="http://schemas.openxmlformats.org/officeDocument/2006/relationships/worksheet" Target="/xl/worksheets/sheet5.xml" Id="Re2ef9b1b4204471e" /><Relationship Type="http://schemas.openxmlformats.org/officeDocument/2006/relationships/worksheet" Target="/xl/worksheets/sheet6.xml" Id="Rad9051d6f82142f6" /><Relationship Type="http://schemas.openxmlformats.org/officeDocument/2006/relationships/worksheet" Target="/xl/worksheets/sheet7.xml" Id="R5153133b06b14ba3" /><Relationship Type="http://schemas.openxmlformats.org/officeDocument/2006/relationships/worksheet" Target="/xl/worksheets/sheet8.xml" Id="R0be0833393ec4199" /></Relationships>
</file>

<file path=xl/tables/table1.xml><?xml version="1.0" encoding="utf-8"?>
<x:table xmlns:x="http://schemas.openxmlformats.org/spreadsheetml/2006/main" id="1" name="HourlyRawTable" displayName="HourlyRawTable" ref="A1:D26" headerRowCount="1" totalsRowCount="0" totalsRowShown="0">
  <x:autoFilter ref="A1:D26"/>
  <x:tableColumns count="4">
    <x:tableColumn id="1" name="﻿tm"/>
    <x:tableColumn id="2" name="stn"/>
    <x:tableColumn id="3" name="wd_deg"/>
    <x:tableColumn id="4" name="ws_m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RawTable" displayName="DailyRawTable" ref="A1:E8" headerRowCount="1" totalsRowCount="0" totalsRowShown="0">
  <x:autoFilter ref="A1:E8"/>
  <x:tableColumns count="5">
    <x:tableColumn id="1" name="﻿tm"/>
    <x:tableColumn id="2" name="stn"/>
    <x:tableColumn id="3" name="ws_avg_ms"/>
    <x:tableColumn id="4" name="ws_max_ms"/>
    <x:tableColumn id="5" name="wd_max_de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cessedHourlyTable" displayName="ProcessedHourlyTable" ref="A1:I26" headerRowCount="1" totalsRowCount="0" totalsRowShown="0">
  <x:autoFilter ref="A1:I26"/>
  <x:tableColumns count="9">
    <x:tableColumn id="1" name="관측일_KST"/>
    <x:tableColumn id="2" name="시각_HHMM"/>
    <x:tableColumn id="3" name="관측소_ID"/>
    <x:tableColumn id="4" name="풍향_deg"/>
    <x:tableColumn id="5" name="풍속_m_s"/>
    <x:tableColumn id="6" name="풍향_16방위"/>
    <x:tableColumn id="7" name="실제_합성"/>
    <x:tableColumn id="8" name="출처_ID"/>
    <x:tableColumn id="9" name="품질플래그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cessedDailyTable" displayName="ProcessedDailyTable" ref="A1:H8" headerRowCount="1" totalsRowCount="0" totalsRowShown="0">
  <x:autoFilter ref="A1:H8"/>
  <x:tableColumns count="8">
    <x:tableColumn id="1" name="관측일_KST"/>
    <x:tableColumn id="2" name="관측소_ID"/>
    <x:tableColumn id="3" name="일평균풍속_m_s"/>
    <x:tableColumn id="4" name="일최대풍속_m_s"/>
    <x:tableColumn id="5" name="최대풍속시_풍향_deg"/>
    <x:tableColumn id="6" name="실제_합성"/>
    <x:tableColumn id="7" name="출처_ID"/>
    <x:tableColumn id="8" name="품질플래그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tionaryTable" displayName="DictionaryTable" ref="A1:J11" headerRowCount="1" totalsRowCount="0" totalsRowShown="0">
  <x:autoFilter ref="A1:J11"/>
  <x:tableColumns count="10">
    <x:tableColumn id="1" name="필드"/>
    <x:tableColumn id="2" name="정의"/>
    <x:tableColumn id="3" name="단위"/>
    <x:tableColumn id="4" name="원시값"/>
    <x:tableColumn id="5" name="정제값"/>
    <x:tableColumn id="6" name="자료형"/>
    <x:tableColumn id="7" name="필수"/>
    <x:tableColumn id="8" name="결측 처리"/>
    <x:tableColumn id="9" name="적용 가정"/>
    <x:tableColumn id="10" name="사용 제한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1:I4" headerRowCount="1" totalsRowCount="0" totalsRowShown="0">
  <x:autoFilter ref="A1:I4"/>
  <x:tableColumns count="9">
    <x:tableColumn id="1" name="출처_ID"/>
    <x:tableColumn id="2" name="출처명"/>
    <x:tableColumn id="3" name="원문_URL"/>
    <x:tableColumn id="4" name="원문 위치"/>
    <x:tableColumn id="5" name="확인일"/>
    <x:tableColumn id="6" name="근거 유형"/>
    <x:tableColumn id="7" name="라이선스·이용조건"/>
    <x:tableColumn id="8" name="실제_합성"/>
    <x:tableColumn id="9" name="한계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QualityTable" displayName="QualityTable" ref="A1:F16" headerRowCount="1" totalsRowCount="0" totalsRowShown="0">
  <x:autoFilter ref="A1:F16"/>
  <x:tableColumns count="6">
    <x:tableColumn id="1" name="검사_ID"/>
    <x:tableColumn id="2" name="대상"/>
    <x:tableColumn id="3" name="검사"/>
    <x:tableColumn id="4" name="결과"/>
    <x:tableColumn id="5" name="근거"/>
    <x:tableColumn id="6" name="남은 한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6183ae6c3348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3982750d864b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87589296a048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099dd3f96654b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c5ba0d06c64a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68694dcaf84e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72f267346f4c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15" hidden="0" customHeight="1">
      <x:c r="A1" s="54" t="str">
        <x:v>﻿tm</x:v>
      </x:c>
      <x:c r="B1" s="54" t="str">
        <x:v>stn</x:v>
      </x:c>
      <x:c r="C1" s="54" t="str">
        <x:v>wd_deg</x:v>
      </x:c>
      <x:c r="D1" s="54" t="str">
        <x:v>ws_ms</x:v>
      </x:c>
    </x:row>
    <x:row r="2" ht="15" hidden="0" customHeight="1">
      <x:c r="A2" s="30" t="n">
        <x:v>202607260000</x:v>
      </x:c>
      <x:c r="B2" s="31" t="str">
        <x:v>108</x:v>
      </x:c>
      <x:c r="C2" s="13" t="str">
        <x:v>25.0</x:v>
      </x:c>
      <x:c r="D2" s="13" t="str">
        <x:v>1.4</x:v>
      </x:c>
    </x:row>
    <x:row r="3" ht="15" hidden="0" customHeight="1">
      <x:c r="A3" s="30" t="n">
        <x:v>202607260100</x:v>
      </x:c>
      <x:c r="B3" s="31" t="str">
        <x:v>108</x:v>
      </x:c>
      <x:c r="C3" s="13" t="str">
        <x:v>18.0</x:v>
      </x:c>
      <x:c r="D3" s="13" t="str">
        <x:v>1.7</x:v>
      </x:c>
    </x:row>
    <x:row r="4" ht="15" hidden="0" customHeight="1">
      <x:c r="A4" s="30" t="n">
        <x:v>202607260200</x:v>
      </x:c>
      <x:c r="B4" s="31" t="str">
        <x:v>108</x:v>
      </x:c>
      <x:c r="C4" s="13" t="str">
        <x:v>20.0</x:v>
      </x:c>
      <x:c r="D4" s="13" t="str">
        <x:v>2.1</x:v>
      </x:c>
    </x:row>
    <x:row r="5" ht="15" hidden="0" customHeight="1">
      <x:c r="A5" s="30" t="n">
        <x:v>202607260300</x:v>
      </x:c>
      <x:c r="B5" s="31" t="str">
        <x:v>108</x:v>
      </x:c>
      <x:c r="C5" s="13" t="str">
        <x:v>20.0</x:v>
      </x:c>
      <x:c r="D5" s="13" t="str">
        <x:v>2.5</x:v>
      </x:c>
    </x:row>
    <x:row r="6" ht="15" hidden="0" customHeight="1">
      <x:c r="A6" s="30" t="n">
        <x:v>202607260400</x:v>
      </x:c>
      <x:c r="B6" s="31" t="str">
        <x:v>108</x:v>
      </x:c>
      <x:c r="C6" s="13" t="str">
        <x:v>16.0</x:v>
      </x:c>
      <x:c r="D6" s="13" t="str">
        <x:v>1.4</x:v>
      </x:c>
    </x:row>
    <x:row r="7" ht="15" hidden="0" customHeight="1">
      <x:c r="A7" s="30" t="n">
        <x:v>202607260500</x:v>
      </x:c>
      <x:c r="B7" s="31" t="str">
        <x:v>108</x:v>
      </x:c>
      <x:c r="C7" s="13" t="str">
        <x:v>18.0</x:v>
      </x:c>
      <x:c r="D7" s="13" t="str">
        <x:v>1.6</x:v>
      </x:c>
    </x:row>
    <x:row r="8" ht="15" hidden="0" customHeight="1">
      <x:c r="A8" s="30" t="n">
        <x:v>202607260600</x:v>
      </x:c>
      <x:c r="B8" s="31" t="str">
        <x:v>108</x:v>
      </x:c>
      <x:c r="C8" s="13" t="str">
        <x:v>18.0</x:v>
      </x:c>
      <x:c r="D8" s="13" t="str">
        <x:v>3.1</x:v>
      </x:c>
    </x:row>
    <x:row r="9" ht="15" hidden="0" customHeight="1">
      <x:c r="A9" s="30" t="n">
        <x:v>202607260700</x:v>
      </x:c>
      <x:c r="B9" s="31" t="str">
        <x:v>108</x:v>
      </x:c>
      <x:c r="C9" s="13" t="str">
        <x:v>23.0</x:v>
      </x:c>
      <x:c r="D9" s="13" t="str">
        <x:v>2.7</x:v>
      </x:c>
    </x:row>
    <x:row r="10" ht="15" hidden="0" customHeight="1">
      <x:c r="A10" s="30" t="n">
        <x:v>202607260800</x:v>
      </x:c>
      <x:c r="B10" s="31" t="str">
        <x:v>108</x:v>
      </x:c>
      <x:c r="C10" s="13" t="str">
        <x:v>20.0</x:v>
      </x:c>
      <x:c r="D10" s="13" t="str">
        <x:v>2.0</x:v>
      </x:c>
    </x:row>
    <x:row r="11" ht="15" hidden="0" customHeight="1">
      <x:c r="A11" s="30" t="n">
        <x:v>202607260900</x:v>
      </x:c>
      <x:c r="B11" s="31" t="str">
        <x:v>108</x:v>
      </x:c>
      <x:c r="C11" s="13" t="str">
        <x:v>23.0</x:v>
      </x:c>
      <x:c r="D11" s="13" t="str">
        <x:v>2.7</x:v>
      </x:c>
    </x:row>
    <x:row r="12" ht="15" hidden="0" customHeight="1">
      <x:c r="A12" s="30" t="n">
        <x:v>202607261000</x:v>
      </x:c>
      <x:c r="B12" s="31" t="str">
        <x:v>108</x:v>
      </x:c>
      <x:c r="C12" s="13" t="str">
        <x:v>20.0</x:v>
      </x:c>
      <x:c r="D12" s="13" t="str">
        <x:v>3.0</x:v>
      </x:c>
    </x:row>
    <x:row r="13" ht="15" hidden="0" customHeight="1">
      <x:c r="A13" s="30" t="n">
        <x:v>202607261100</x:v>
      </x:c>
      <x:c r="B13" s="31" t="str">
        <x:v>108</x:v>
      </x:c>
      <x:c r="C13" s="13" t="str">
        <x:v>18.0</x:v>
      </x:c>
      <x:c r="D13" s="13" t="str">
        <x:v>3.2</x:v>
      </x:c>
    </x:row>
    <x:row r="14" ht="15" hidden="0" customHeight="1">
      <x:c r="A14" s="30" t="n">
        <x:v>202607261200</x:v>
      </x:c>
      <x:c r="B14" s="31" t="str">
        <x:v>108</x:v>
      </x:c>
      <x:c r="C14" s="13" t="str">
        <x:v>23.0</x:v>
      </x:c>
      <x:c r="D14" s="13" t="str">
        <x:v>4.0</x:v>
      </x:c>
    </x:row>
    <x:row r="15" ht="15" hidden="0" customHeight="1">
      <x:c r="A15" s="30" t="n">
        <x:v>202607261300</x:v>
      </x:c>
      <x:c r="B15" s="31" t="str">
        <x:v>108</x:v>
      </x:c>
      <x:c r="C15" s="13" t="str">
        <x:v>27.0</x:v>
      </x:c>
      <x:c r="D15" s="13" t="str">
        <x:v>2.8</x:v>
      </x:c>
    </x:row>
    <x:row r="16" ht="15" hidden="0" customHeight="1">
      <x:c r="A16" s="30" t="n">
        <x:v>202607261400</x:v>
      </x:c>
      <x:c r="B16" s="31" t="str">
        <x:v>108</x:v>
      </x:c>
      <x:c r="C16" s="13" t="str">
        <x:v>20.0</x:v>
      </x:c>
      <x:c r="D16" s="13" t="str">
        <x:v>3.3</x:v>
      </x:c>
    </x:row>
    <x:row r="17" ht="15" hidden="0" customHeight="1">
      <x:c r="A17" s="30" t="n">
        <x:v>202607261500</x:v>
      </x:c>
      <x:c r="B17" s="31" t="str">
        <x:v>108</x:v>
      </x:c>
      <x:c r="C17" s="13" t="str">
        <x:v>23.0</x:v>
      </x:c>
      <x:c r="D17" s="13" t="str">
        <x:v>3.8</x:v>
      </x:c>
    </x:row>
    <x:row r="18" ht="15" hidden="0" customHeight="1">
      <x:c r="A18" s="30" t="n">
        <x:v>202607261600</x:v>
      </x:c>
      <x:c r="B18" s="31" t="str">
        <x:v>108</x:v>
      </x:c>
      <x:c r="C18" s="13" t="str">
        <x:v>27.0</x:v>
      </x:c>
      <x:c r="D18" s="13" t="str">
        <x:v>4.3</x:v>
      </x:c>
    </x:row>
    <x:row r="19" ht="15" hidden="0" customHeight="1">
      <x:c r="A19" s="30" t="n">
        <x:v>202607261700</x:v>
      </x:c>
      <x:c r="B19" s="31" t="str">
        <x:v>108</x:v>
      </x:c>
      <x:c r="C19" s="13" t="str">
        <x:v>27.0</x:v>
      </x:c>
      <x:c r="D19" s="13" t="str">
        <x:v>3.6</x:v>
      </x:c>
    </x:row>
    <x:row r="20" ht="15" hidden="0" customHeight="1">
      <x:c r="A20" s="30" t="n">
        <x:v>202607261800</x:v>
      </x:c>
      <x:c r="B20" s="31" t="str">
        <x:v>108</x:v>
      </x:c>
      <x:c r="C20" s="13" t="str">
        <x:v>27.0</x:v>
      </x:c>
      <x:c r="D20" s="13" t="str">
        <x:v>2.9</x:v>
      </x:c>
    </x:row>
    <x:row r="21" ht="15" hidden="0" customHeight="1">
      <x:c r="A21" s="30" t="n">
        <x:v>202607261900</x:v>
      </x:c>
      <x:c r="B21" s="31" t="str">
        <x:v>108</x:v>
      </x:c>
      <x:c r="C21" s="13" t="str">
        <x:v>27.0</x:v>
      </x:c>
      <x:c r="D21" s="13" t="str">
        <x:v>2.2</x:v>
      </x:c>
    </x:row>
    <x:row r="22" ht="15" hidden="0" customHeight="1">
      <x:c r="A22" s="30" t="n">
        <x:v>202607262000</x:v>
      </x:c>
      <x:c r="B22" s="31" t="str">
        <x:v>108</x:v>
      </x:c>
      <x:c r="C22" s="13" t="str">
        <x:v>27.0</x:v>
      </x:c>
      <x:c r="D22" s="13" t="str">
        <x:v>1.8</x:v>
      </x:c>
    </x:row>
    <x:row r="23" ht="15" hidden="0" customHeight="1">
      <x:c r="A23" s="30" t="n">
        <x:v>202607262100</x:v>
      </x:c>
      <x:c r="B23" s="31" t="str">
        <x:v>108</x:v>
      </x:c>
      <x:c r="C23" s="13" t="str">
        <x:v>27.0</x:v>
      </x:c>
      <x:c r="D23" s="13" t="str">
        <x:v>2.0</x:v>
      </x:c>
    </x:row>
    <x:row r="24" ht="15" hidden="0" customHeight="1">
      <x:c r="A24" s="30" t="n">
        <x:v>202607262200</x:v>
      </x:c>
      <x:c r="B24" s="31" t="str">
        <x:v>108</x:v>
      </x:c>
      <x:c r="C24" s="13" t="str">
        <x:v>27.0</x:v>
      </x:c>
      <x:c r="D24" s="13" t="str">
        <x:v>1.8</x:v>
      </x:c>
    </x:row>
    <x:row r="25" ht="15" hidden="0" customHeight="1">
      <x:c r="A25" s="30" t="n">
        <x:v>202607262300</x:v>
      </x:c>
      <x:c r="B25" s="31" t="str">
        <x:v>108</x:v>
      </x:c>
      <x:c r="C25" s="13" t="str">
        <x:v>29.0</x:v>
      </x:c>
      <x:c r="D25" s="13" t="str">
        <x:v>1.5</x:v>
      </x:c>
    </x:row>
    <x:row r="26" ht="15" hidden="0" customHeight="1">
      <x:c r="A26" s="32" t="n">
        <x:v>202607270000</x:v>
      </x:c>
      <x:c r="B26" s="33" t="str">
        <x:v>108</x:v>
      </x:c>
      <x:c r="C26" s="14" t="str">
        <x:v>20.0</x:v>
      </x:c>
      <x:c r="D26" s="14" t="str">
        <x:v>2.0</x:v>
      </x:c>
    </x:row>
  </x:sheetData>
  <x:pageMargins left="0.7" right="0.7" top="0.75" bottom="0.75" header="0.3" footer="0.3"/>
  <x:tableParts count="1">
    <x:tablePart xmlns:r="http://schemas.openxmlformats.org/officeDocument/2006/relationships" r:id="R736183ae6c33483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15" hidden="0" customHeight="1">
      <x:c r="A1" s="54" t="str">
        <x:v>﻿tm</x:v>
      </x:c>
      <x:c r="B1" s="54" t="str">
        <x:v>stn</x:v>
      </x:c>
      <x:c r="C1" s="54" t="str">
        <x:v>ws_avg_ms</x:v>
      </x:c>
      <x:c r="D1" s="54" t="str">
        <x:v>ws_max_ms</x:v>
      </x:c>
      <x:c r="E1" s="54" t="str">
        <x:v>wd_max_deg</x:v>
      </x:c>
    </x:row>
    <x:row r="2" ht="15" hidden="0" customHeight="1">
      <x:c r="A2" s="31" t="str">
        <x:v>20260720</x:v>
      </x:c>
      <x:c r="B2" s="31" t="str">
        <x:v>108</x:v>
      </x:c>
      <x:c r="C2" s="13" t="str">
        <x:v>1.8</x:v>
      </x:c>
      <x:c r="D2" s="13" t="str">
        <x:v>3.2</x:v>
      </x:c>
      <x:c r="E2" s="13" t="str">
        <x:v>5.0</x:v>
      </x:c>
    </x:row>
    <x:row r="3" ht="15" hidden="0" customHeight="1">
      <x:c r="A3" s="31" t="str">
        <x:v>20260721</x:v>
      </x:c>
      <x:c r="B3" s="31" t="str">
        <x:v>108</x:v>
      </x:c>
      <x:c r="C3" s="13" t="str">
        <x:v>2.4</x:v>
      </x:c>
      <x:c r="D3" s="13" t="str">
        <x:v>6.8</x:v>
      </x:c>
      <x:c r="E3" s="13" t="str">
        <x:v>20.0</x:v>
      </x:c>
    </x:row>
    <x:row r="4" ht="15" hidden="0" customHeight="1">
      <x:c r="A4" s="31" t="str">
        <x:v>20260722</x:v>
      </x:c>
      <x:c r="B4" s="31" t="str">
        <x:v>108</x:v>
      </x:c>
      <x:c r="C4" s="13" t="str">
        <x:v>1.3</x:v>
      </x:c>
      <x:c r="D4" s="13" t="str">
        <x:v>3.2</x:v>
      </x:c>
      <x:c r="E4" s="13" t="str">
        <x:v>20.0</x:v>
      </x:c>
    </x:row>
    <x:row r="5" ht="15" hidden="0" customHeight="1">
      <x:c r="A5" s="31" t="str">
        <x:v>20260723</x:v>
      </x:c>
      <x:c r="B5" s="31" t="str">
        <x:v>108</x:v>
      </x:c>
      <x:c r="C5" s="13" t="str">
        <x:v>2.7</x:v>
      </x:c>
      <x:c r="D5" s="13" t="str">
        <x:v>6.3</x:v>
      </x:c>
      <x:c r="E5" s="13" t="str">
        <x:v>20.0</x:v>
      </x:c>
    </x:row>
    <x:row r="6" ht="15" hidden="0" customHeight="1">
      <x:c r="A6" s="31" t="str">
        <x:v>20260724</x:v>
      </x:c>
      <x:c r="B6" s="31" t="str">
        <x:v>108</x:v>
      </x:c>
      <x:c r="C6" s="13" t="str">
        <x:v>2.7</x:v>
      </x:c>
      <x:c r="D6" s="13" t="str">
        <x:v>5.0</x:v>
      </x:c>
      <x:c r="E6" s="13" t="str">
        <x:v>23.0</x:v>
      </x:c>
    </x:row>
    <x:row r="7" ht="15" hidden="0" customHeight="1">
      <x:c r="A7" s="31" t="str">
        <x:v>20260725</x:v>
      </x:c>
      <x:c r="B7" s="31" t="str">
        <x:v>108</x:v>
      </x:c>
      <x:c r="C7" s="13" t="str">
        <x:v>2.4</x:v>
      </x:c>
      <x:c r="D7" s="13" t="str">
        <x:v>5.4</x:v>
      </x:c>
      <x:c r="E7" s="13" t="str">
        <x:v>20.0</x:v>
      </x:c>
    </x:row>
    <x:row r="8" ht="15" hidden="0" customHeight="1">
      <x:c r="A8" s="33" t="str">
        <x:v>20260726</x:v>
      </x:c>
      <x:c r="B8" s="33" t="str">
        <x:v>108</x:v>
      </x:c>
      <x:c r="C8" s="14" t="str">
        <x:v>2.5</x:v>
      </x:c>
      <x:c r="D8" s="14" t="str">
        <x:v>4.7</x:v>
      </x:c>
      <x:c r="E8" s="14" t="str">
        <x:v>27.0</x:v>
      </x:c>
    </x:row>
  </x:sheetData>
  <x:pageMargins left="0.7" right="0.7" top="0.75" bottom="0.75" header="0.3" footer="0.3"/>
  <x:tableParts count="1">
    <x:tablePart xmlns:r="http://schemas.openxmlformats.org/officeDocument/2006/relationships" r:id="R0c3982750d864b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16" hidden="0" customWidth="1"/>
  </x:cols>
  <x:sheetData>
    <x:row r="1" ht="15" hidden="0" customHeight="1">
      <x:c r="A1" s="54" t="str">
        <x:v>관측일_KST</x:v>
      </x:c>
      <x:c r="B1" s="54" t="str">
        <x:v>시각_HHMM</x:v>
      </x:c>
      <x:c r="C1" s="54" t="str">
        <x:v>관측소_ID</x:v>
      </x:c>
      <x:c r="D1" s="54" t="str">
        <x:v>풍향_deg</x:v>
      </x:c>
      <x:c r="E1" s="54" t="str">
        <x:v>풍속_m_s</x:v>
      </x:c>
      <x:c r="F1" s="54" t="str">
        <x:v>풍향_16방위</x:v>
      </x:c>
      <x:c r="G1" s="54" t="str">
        <x:v>실제_합성</x:v>
      </x:c>
      <x:c r="H1" s="54" t="str">
        <x:v>출처_ID</x:v>
      </x:c>
      <x:c r="I1" s="54" t="str">
        <x:v>품질플래그</x:v>
      </x:c>
    </x:row>
    <x:row r="2" ht="15" hidden="0" customHeight="1">
      <x:c r="A2" s="56" t="n">
        <x:v>46229</x:v>
      </x:c>
      <x:c r="B2" s="13" t="str">
        <x:v>00:00</x:v>
      </x:c>
      <x:c r="C2" s="13" t="str">
        <x:v>108</x:v>
      </x:c>
      <x:c r="D2" s="50" t="n">
        <x:v>25</x:v>
      </x:c>
      <x:c r="E2" s="50" t="n">
        <x:v>1.4</x:v>
      </x:c>
      <x:c r="F2" s="13" t="str">
        <x:v>NNE</x:v>
      </x:c>
      <x:c r="G2" s="13" t="str">
        <x:v>실제 관측</x:v>
      </x:c>
      <x:c r="H2" s="13" t="str">
        <x:v>KMA-HOURLY-20260727</x:v>
      </x:c>
      <x:c r="I2" s="13" t="str">
        <x:v>PASS</x:v>
      </x:c>
    </x:row>
    <x:row r="3" ht="15" hidden="0" customHeight="1">
      <x:c r="A3" s="56" t="n">
        <x:v>46229</x:v>
      </x:c>
      <x:c r="B3" s="13" t="str">
        <x:v>01:00</x:v>
      </x:c>
      <x:c r="C3" s="13" t="str">
        <x:v>108</x:v>
      </x:c>
      <x:c r="D3" s="50" t="n">
        <x:v>18</x:v>
      </x:c>
      <x:c r="E3" s="50" t="n">
        <x:v>1.7</x:v>
      </x:c>
      <x:c r="F3" s="13" t="str">
        <x:v>NNE</x:v>
      </x:c>
      <x:c r="G3" s="13" t="str">
        <x:v>실제 관측</x:v>
      </x:c>
      <x:c r="H3" s="13" t="str">
        <x:v>KMA-HOURLY-20260727</x:v>
      </x:c>
      <x:c r="I3" s="13" t="str">
        <x:v>PASS</x:v>
      </x:c>
    </x:row>
    <x:row r="4" ht="15" hidden="0" customHeight="1">
      <x:c r="A4" s="56" t="n">
        <x:v>46229</x:v>
      </x:c>
      <x:c r="B4" s="13" t="str">
        <x:v>02:00</x:v>
      </x:c>
      <x:c r="C4" s="13" t="str">
        <x:v>108</x:v>
      </x:c>
      <x:c r="D4" s="50" t="n">
        <x:v>20</x:v>
      </x:c>
      <x:c r="E4" s="50" t="n">
        <x:v>2.1</x:v>
      </x:c>
      <x:c r="F4" s="13" t="str">
        <x:v>NNE</x:v>
      </x:c>
      <x:c r="G4" s="13" t="str">
        <x:v>실제 관측</x:v>
      </x:c>
      <x:c r="H4" s="13" t="str">
        <x:v>KMA-HOURLY-20260727</x:v>
      </x:c>
      <x:c r="I4" s="13" t="str">
        <x:v>PASS</x:v>
      </x:c>
    </x:row>
    <x:row r="5" ht="15" hidden="0" customHeight="1">
      <x:c r="A5" s="56" t="n">
        <x:v>46229</x:v>
      </x:c>
      <x:c r="B5" s="13" t="str">
        <x:v>03:00</x:v>
      </x:c>
      <x:c r="C5" s="13" t="str">
        <x:v>108</x:v>
      </x:c>
      <x:c r="D5" s="50" t="n">
        <x:v>20</x:v>
      </x:c>
      <x:c r="E5" s="50" t="n">
        <x:v>2.5</x:v>
      </x:c>
      <x:c r="F5" s="13" t="str">
        <x:v>NNE</x:v>
      </x:c>
      <x:c r="G5" s="13" t="str">
        <x:v>실제 관측</x:v>
      </x:c>
      <x:c r="H5" s="13" t="str">
        <x:v>KMA-HOURLY-20260727</x:v>
      </x:c>
      <x:c r="I5" s="13" t="str">
        <x:v>PASS</x:v>
      </x:c>
    </x:row>
    <x:row r="6" ht="15" hidden="0" customHeight="1">
      <x:c r="A6" s="56" t="n">
        <x:v>46229</x:v>
      </x:c>
      <x:c r="B6" s="13" t="str">
        <x:v>04:00</x:v>
      </x:c>
      <x:c r="C6" s="13" t="str">
        <x:v>108</x:v>
      </x:c>
      <x:c r="D6" s="50" t="n">
        <x:v>16</x:v>
      </x:c>
      <x:c r="E6" s="50" t="n">
        <x:v>1.4</x:v>
      </x:c>
      <x:c r="F6" s="13" t="str">
        <x:v>NNE</x:v>
      </x:c>
      <x:c r="G6" s="13" t="str">
        <x:v>실제 관측</x:v>
      </x:c>
      <x:c r="H6" s="13" t="str">
        <x:v>KMA-HOURLY-20260727</x:v>
      </x:c>
      <x:c r="I6" s="13" t="str">
        <x:v>PASS</x:v>
      </x:c>
    </x:row>
    <x:row r="7" ht="15" hidden="0" customHeight="1">
      <x:c r="A7" s="56" t="n">
        <x:v>46229</x:v>
      </x:c>
      <x:c r="B7" s="13" t="str">
        <x:v>05:00</x:v>
      </x:c>
      <x:c r="C7" s="13" t="str">
        <x:v>108</x:v>
      </x:c>
      <x:c r="D7" s="50" t="n">
        <x:v>18</x:v>
      </x:c>
      <x:c r="E7" s="50" t="n">
        <x:v>1.6</x:v>
      </x:c>
      <x:c r="F7" s="13" t="str">
        <x:v>NNE</x:v>
      </x:c>
      <x:c r="G7" s="13" t="str">
        <x:v>실제 관측</x:v>
      </x:c>
      <x:c r="H7" s="13" t="str">
        <x:v>KMA-HOURLY-20260727</x:v>
      </x:c>
      <x:c r="I7" s="13" t="str">
        <x:v>PASS</x:v>
      </x:c>
    </x:row>
    <x:row r="8" ht="15" hidden="0" customHeight="1">
      <x:c r="A8" s="56" t="n">
        <x:v>46229</x:v>
      </x:c>
      <x:c r="B8" s="13" t="str">
        <x:v>06:00</x:v>
      </x:c>
      <x:c r="C8" s="13" t="str">
        <x:v>108</x:v>
      </x:c>
      <x:c r="D8" s="50" t="n">
        <x:v>18</x:v>
      </x:c>
      <x:c r="E8" s="50" t="n">
        <x:v>3.1</x:v>
      </x:c>
      <x:c r="F8" s="13" t="str">
        <x:v>NNE</x:v>
      </x:c>
      <x:c r="G8" s="13" t="str">
        <x:v>실제 관측</x:v>
      </x:c>
      <x:c r="H8" s="13" t="str">
        <x:v>KMA-HOURLY-20260727</x:v>
      </x:c>
      <x:c r="I8" s="13" t="str">
        <x:v>PASS</x:v>
      </x:c>
    </x:row>
    <x:row r="9" ht="15" hidden="0" customHeight="1">
      <x:c r="A9" s="56" t="n">
        <x:v>46229</x:v>
      </x:c>
      <x:c r="B9" s="13" t="str">
        <x:v>07:00</x:v>
      </x:c>
      <x:c r="C9" s="13" t="str">
        <x:v>108</x:v>
      </x:c>
      <x:c r="D9" s="50" t="n">
        <x:v>23</x:v>
      </x:c>
      <x:c r="E9" s="50" t="n">
        <x:v>2.7</x:v>
      </x:c>
      <x:c r="F9" s="13" t="str">
        <x:v>NNE</x:v>
      </x:c>
      <x:c r="G9" s="13" t="str">
        <x:v>실제 관측</x:v>
      </x:c>
      <x:c r="H9" s="13" t="str">
        <x:v>KMA-HOURLY-20260727</x:v>
      </x:c>
      <x:c r="I9" s="13" t="str">
        <x:v>PASS</x:v>
      </x:c>
    </x:row>
    <x:row r="10" ht="15" hidden="0" customHeight="1">
      <x:c r="A10" s="56" t="n">
        <x:v>46229</x:v>
      </x:c>
      <x:c r="B10" s="13" t="str">
        <x:v>08:00</x:v>
      </x:c>
      <x:c r="C10" s="13" t="str">
        <x:v>108</x:v>
      </x:c>
      <x:c r="D10" s="50" t="n">
        <x:v>20</x:v>
      </x:c>
      <x:c r="E10" s="50" t="n">
        <x:v>2</x:v>
      </x:c>
      <x:c r="F10" s="13" t="str">
        <x:v>NNE</x:v>
      </x:c>
      <x:c r="G10" s="13" t="str">
        <x:v>실제 관측</x:v>
      </x:c>
      <x:c r="H10" s="13" t="str">
        <x:v>KMA-HOURLY-20260727</x:v>
      </x:c>
      <x:c r="I10" s="13" t="str">
        <x:v>PASS</x:v>
      </x:c>
    </x:row>
    <x:row r="11" ht="15" hidden="0" customHeight="1">
      <x:c r="A11" s="56" t="n">
        <x:v>46229</x:v>
      </x:c>
      <x:c r="B11" s="13" t="str">
        <x:v>09:00</x:v>
      </x:c>
      <x:c r="C11" s="13" t="str">
        <x:v>108</x:v>
      </x:c>
      <x:c r="D11" s="50" t="n">
        <x:v>23</x:v>
      </x:c>
      <x:c r="E11" s="50" t="n">
        <x:v>2.7</x:v>
      </x:c>
      <x:c r="F11" s="13" t="str">
        <x:v>NNE</x:v>
      </x:c>
      <x:c r="G11" s="13" t="str">
        <x:v>실제 관측</x:v>
      </x:c>
      <x:c r="H11" s="13" t="str">
        <x:v>KMA-HOURLY-20260727</x:v>
      </x:c>
      <x:c r="I11" s="13" t="str">
        <x:v>PASS</x:v>
      </x:c>
    </x:row>
    <x:row r="12" ht="15" hidden="0" customHeight="1">
      <x:c r="A12" s="56" t="n">
        <x:v>46229</x:v>
      </x:c>
      <x:c r="B12" s="13" t="str">
        <x:v>10:00</x:v>
      </x:c>
      <x:c r="C12" s="13" t="str">
        <x:v>108</x:v>
      </x:c>
      <x:c r="D12" s="50" t="n">
        <x:v>20</x:v>
      </x:c>
      <x:c r="E12" s="50" t="n">
        <x:v>3</x:v>
      </x:c>
      <x:c r="F12" s="13" t="str">
        <x:v>NNE</x:v>
      </x:c>
      <x:c r="G12" s="13" t="str">
        <x:v>실제 관측</x:v>
      </x:c>
      <x:c r="H12" s="13" t="str">
        <x:v>KMA-HOURLY-20260727</x:v>
      </x:c>
      <x:c r="I12" s="13" t="str">
        <x:v>PASS</x:v>
      </x:c>
    </x:row>
    <x:row r="13" ht="15" hidden="0" customHeight="1">
      <x:c r="A13" s="56" t="n">
        <x:v>46229</x:v>
      </x:c>
      <x:c r="B13" s="13" t="str">
        <x:v>11:00</x:v>
      </x:c>
      <x:c r="C13" s="13" t="str">
        <x:v>108</x:v>
      </x:c>
      <x:c r="D13" s="50" t="n">
        <x:v>18</x:v>
      </x:c>
      <x:c r="E13" s="50" t="n">
        <x:v>3.2</x:v>
      </x:c>
      <x:c r="F13" s="13" t="str">
        <x:v>NNE</x:v>
      </x:c>
      <x:c r="G13" s="13" t="str">
        <x:v>실제 관측</x:v>
      </x:c>
      <x:c r="H13" s="13" t="str">
        <x:v>KMA-HOURLY-20260727</x:v>
      </x:c>
      <x:c r="I13" s="13" t="str">
        <x:v>PASS</x:v>
      </x:c>
    </x:row>
    <x:row r="14" ht="15" hidden="0" customHeight="1">
      <x:c r="A14" s="56" t="n">
        <x:v>46229</x:v>
      </x:c>
      <x:c r="B14" s="13" t="str">
        <x:v>12:00</x:v>
      </x:c>
      <x:c r="C14" s="13" t="str">
        <x:v>108</x:v>
      </x:c>
      <x:c r="D14" s="50" t="n">
        <x:v>23</x:v>
      </x:c>
      <x:c r="E14" s="50" t="n">
        <x:v>4</x:v>
      </x:c>
      <x:c r="F14" s="13" t="str">
        <x:v>NNE</x:v>
      </x:c>
      <x:c r="G14" s="13" t="str">
        <x:v>실제 관측</x:v>
      </x:c>
      <x:c r="H14" s="13" t="str">
        <x:v>KMA-HOURLY-20260727</x:v>
      </x:c>
      <x:c r="I14" s="13" t="str">
        <x:v>PASS</x:v>
      </x:c>
    </x:row>
    <x:row r="15" ht="15" hidden="0" customHeight="1">
      <x:c r="A15" s="56" t="n">
        <x:v>46229</x:v>
      </x:c>
      <x:c r="B15" s="13" t="str">
        <x:v>13:00</x:v>
      </x:c>
      <x:c r="C15" s="13" t="str">
        <x:v>108</x:v>
      </x:c>
      <x:c r="D15" s="50" t="n">
        <x:v>27</x:v>
      </x:c>
      <x:c r="E15" s="50" t="n">
        <x:v>2.8</x:v>
      </x:c>
      <x:c r="F15" s="13" t="str">
        <x:v>NNE</x:v>
      </x:c>
      <x:c r="G15" s="13" t="str">
        <x:v>실제 관측</x:v>
      </x:c>
      <x:c r="H15" s="13" t="str">
        <x:v>KMA-HOURLY-20260727</x:v>
      </x:c>
      <x:c r="I15" s="13" t="str">
        <x:v>PASS</x:v>
      </x:c>
    </x:row>
    <x:row r="16" ht="15" hidden="0" customHeight="1">
      <x:c r="A16" s="56" t="n">
        <x:v>46229</x:v>
      </x:c>
      <x:c r="B16" s="13" t="str">
        <x:v>14:00</x:v>
      </x:c>
      <x:c r="C16" s="13" t="str">
        <x:v>108</x:v>
      </x:c>
      <x:c r="D16" s="50" t="n">
        <x:v>20</x:v>
      </x:c>
      <x:c r="E16" s="50" t="n">
        <x:v>3.3</x:v>
      </x:c>
      <x:c r="F16" s="13" t="str">
        <x:v>NNE</x:v>
      </x:c>
      <x:c r="G16" s="13" t="str">
        <x:v>실제 관측</x:v>
      </x:c>
      <x:c r="H16" s="13" t="str">
        <x:v>KMA-HOURLY-20260727</x:v>
      </x:c>
      <x:c r="I16" s="13" t="str">
        <x:v>PASS</x:v>
      </x:c>
    </x:row>
    <x:row r="17" ht="15" hidden="0" customHeight="1">
      <x:c r="A17" s="56" t="n">
        <x:v>46229</x:v>
      </x:c>
      <x:c r="B17" s="13" t="str">
        <x:v>15:00</x:v>
      </x:c>
      <x:c r="C17" s="13" t="str">
        <x:v>108</x:v>
      </x:c>
      <x:c r="D17" s="50" t="n">
        <x:v>23</x:v>
      </x:c>
      <x:c r="E17" s="50" t="n">
        <x:v>3.8</x:v>
      </x:c>
      <x:c r="F17" s="13" t="str">
        <x:v>NNE</x:v>
      </x:c>
      <x:c r="G17" s="13" t="str">
        <x:v>실제 관측</x:v>
      </x:c>
      <x:c r="H17" s="13" t="str">
        <x:v>KMA-HOURLY-20260727</x:v>
      </x:c>
      <x:c r="I17" s="13" t="str">
        <x:v>PASS</x:v>
      </x:c>
    </x:row>
    <x:row r="18" ht="15" hidden="0" customHeight="1">
      <x:c r="A18" s="56" t="n">
        <x:v>46229</x:v>
      </x:c>
      <x:c r="B18" s="13" t="str">
        <x:v>16:00</x:v>
      </x:c>
      <x:c r="C18" s="13" t="str">
        <x:v>108</x:v>
      </x:c>
      <x:c r="D18" s="50" t="n">
        <x:v>27</x:v>
      </x:c>
      <x:c r="E18" s="50" t="n">
        <x:v>4.3</x:v>
      </x:c>
      <x:c r="F18" s="13" t="str">
        <x:v>NNE</x:v>
      </x:c>
      <x:c r="G18" s="13" t="str">
        <x:v>실제 관측</x:v>
      </x:c>
      <x:c r="H18" s="13" t="str">
        <x:v>KMA-HOURLY-20260727</x:v>
      </x:c>
      <x:c r="I18" s="13" t="str">
        <x:v>PASS</x:v>
      </x:c>
    </x:row>
    <x:row r="19" ht="15" hidden="0" customHeight="1">
      <x:c r="A19" s="56" t="n">
        <x:v>46229</x:v>
      </x:c>
      <x:c r="B19" s="13" t="str">
        <x:v>17:00</x:v>
      </x:c>
      <x:c r="C19" s="13" t="str">
        <x:v>108</x:v>
      </x:c>
      <x:c r="D19" s="50" t="n">
        <x:v>27</x:v>
      </x:c>
      <x:c r="E19" s="50" t="n">
        <x:v>3.6</x:v>
      </x:c>
      <x:c r="F19" s="13" t="str">
        <x:v>NNE</x:v>
      </x:c>
      <x:c r="G19" s="13" t="str">
        <x:v>실제 관측</x:v>
      </x:c>
      <x:c r="H19" s="13" t="str">
        <x:v>KMA-HOURLY-20260727</x:v>
      </x:c>
      <x:c r="I19" s="13" t="str">
        <x:v>PASS</x:v>
      </x:c>
    </x:row>
    <x:row r="20" ht="15" hidden="0" customHeight="1">
      <x:c r="A20" s="56" t="n">
        <x:v>46229</x:v>
      </x:c>
      <x:c r="B20" s="13" t="str">
        <x:v>18:00</x:v>
      </x:c>
      <x:c r="C20" s="13" t="str">
        <x:v>108</x:v>
      </x:c>
      <x:c r="D20" s="50" t="n">
        <x:v>27</x:v>
      </x:c>
      <x:c r="E20" s="50" t="n">
        <x:v>2.9</x:v>
      </x:c>
      <x:c r="F20" s="13" t="str">
        <x:v>NNE</x:v>
      </x:c>
      <x:c r="G20" s="13" t="str">
        <x:v>실제 관측</x:v>
      </x:c>
      <x:c r="H20" s="13" t="str">
        <x:v>KMA-HOURLY-20260727</x:v>
      </x:c>
      <x:c r="I20" s="13" t="str">
        <x:v>PASS</x:v>
      </x:c>
    </x:row>
    <x:row r="21" ht="15" hidden="0" customHeight="1">
      <x:c r="A21" s="56" t="n">
        <x:v>46229</x:v>
      </x:c>
      <x:c r="B21" s="13" t="str">
        <x:v>19:00</x:v>
      </x:c>
      <x:c r="C21" s="13" t="str">
        <x:v>108</x:v>
      </x:c>
      <x:c r="D21" s="50" t="n">
        <x:v>27</x:v>
      </x:c>
      <x:c r="E21" s="50" t="n">
        <x:v>2.2</x:v>
      </x:c>
      <x:c r="F21" s="13" t="str">
        <x:v>NNE</x:v>
      </x:c>
      <x:c r="G21" s="13" t="str">
        <x:v>실제 관측</x:v>
      </x:c>
      <x:c r="H21" s="13" t="str">
        <x:v>KMA-HOURLY-20260727</x:v>
      </x:c>
      <x:c r="I21" s="13" t="str">
        <x:v>PASS</x:v>
      </x:c>
    </x:row>
    <x:row r="22" ht="15" hidden="0" customHeight="1">
      <x:c r="A22" s="56" t="n">
        <x:v>46229</x:v>
      </x:c>
      <x:c r="B22" s="13" t="str">
        <x:v>20:00</x:v>
      </x:c>
      <x:c r="C22" s="13" t="str">
        <x:v>108</x:v>
      </x:c>
      <x:c r="D22" s="50" t="n">
        <x:v>27</x:v>
      </x:c>
      <x:c r="E22" s="50" t="n">
        <x:v>1.8</x:v>
      </x:c>
      <x:c r="F22" s="13" t="str">
        <x:v>NNE</x:v>
      </x:c>
      <x:c r="G22" s="13" t="str">
        <x:v>실제 관측</x:v>
      </x:c>
      <x:c r="H22" s="13" t="str">
        <x:v>KMA-HOURLY-20260727</x:v>
      </x:c>
      <x:c r="I22" s="13" t="str">
        <x:v>PASS</x:v>
      </x:c>
    </x:row>
    <x:row r="23" ht="15" hidden="0" customHeight="1">
      <x:c r="A23" s="56" t="n">
        <x:v>46229</x:v>
      </x:c>
      <x:c r="B23" s="13" t="str">
        <x:v>21:00</x:v>
      </x:c>
      <x:c r="C23" s="13" t="str">
        <x:v>108</x:v>
      </x:c>
      <x:c r="D23" s="50" t="n">
        <x:v>27</x:v>
      </x:c>
      <x:c r="E23" s="50" t="n">
        <x:v>2</x:v>
      </x:c>
      <x:c r="F23" s="13" t="str">
        <x:v>NNE</x:v>
      </x:c>
      <x:c r="G23" s="13" t="str">
        <x:v>실제 관측</x:v>
      </x:c>
      <x:c r="H23" s="13" t="str">
        <x:v>KMA-HOURLY-20260727</x:v>
      </x:c>
      <x:c r="I23" s="13" t="str">
        <x:v>PASS</x:v>
      </x:c>
    </x:row>
    <x:row r="24" ht="15" hidden="0" customHeight="1">
      <x:c r="A24" s="56" t="n">
        <x:v>46229</x:v>
      </x:c>
      <x:c r="B24" s="13" t="str">
        <x:v>22:00</x:v>
      </x:c>
      <x:c r="C24" s="13" t="str">
        <x:v>108</x:v>
      </x:c>
      <x:c r="D24" s="50" t="n">
        <x:v>27</x:v>
      </x:c>
      <x:c r="E24" s="50" t="n">
        <x:v>1.8</x:v>
      </x:c>
      <x:c r="F24" s="13" t="str">
        <x:v>NNE</x:v>
      </x:c>
      <x:c r="G24" s="13" t="str">
        <x:v>실제 관측</x:v>
      </x:c>
      <x:c r="H24" s="13" t="str">
        <x:v>KMA-HOURLY-20260727</x:v>
      </x:c>
      <x:c r="I24" s="13" t="str">
        <x:v>PASS</x:v>
      </x:c>
    </x:row>
    <x:row r="25" ht="15" hidden="0" customHeight="1">
      <x:c r="A25" s="56" t="n">
        <x:v>46229</x:v>
      </x:c>
      <x:c r="B25" s="13" t="str">
        <x:v>23:00</x:v>
      </x:c>
      <x:c r="C25" s="13" t="str">
        <x:v>108</x:v>
      </x:c>
      <x:c r="D25" s="50" t="n">
        <x:v>29</x:v>
      </x:c>
      <x:c r="E25" s="50" t="n">
        <x:v>1.5</x:v>
      </x:c>
      <x:c r="F25" s="13" t="str">
        <x:v>NNE</x:v>
      </x:c>
      <x:c r="G25" s="13" t="str">
        <x:v>실제 관측</x:v>
      </x:c>
      <x:c r="H25" s="13" t="str">
        <x:v>KMA-HOURLY-20260727</x:v>
      </x:c>
      <x:c r="I25" s="13" t="str">
        <x:v>PASS</x:v>
      </x:c>
    </x:row>
    <x:row r="26" ht="15" hidden="0" customHeight="1">
      <x:c r="A26" s="57" t="n">
        <x:v>46230</x:v>
      </x:c>
      <x:c r="B26" s="14" t="str">
        <x:v>00:00</x:v>
      </x:c>
      <x:c r="C26" s="14" t="str">
        <x:v>108</x:v>
      </x:c>
      <x:c r="D26" s="60" t="n">
        <x:v>20</x:v>
      </x:c>
      <x:c r="E26" s="60" t="n">
        <x:v>2</x:v>
      </x:c>
      <x:c r="F26" s="14" t="str">
        <x:v>NNE</x:v>
      </x:c>
      <x:c r="G26" s="14" t="str">
        <x:v>실제 관측</x:v>
      </x:c>
      <x:c r="H26" s="14" t="str">
        <x:v>KMA-HOURLY-20260727</x:v>
      </x:c>
      <x:c r="I26" s="14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8b87589296a048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20" hidden="0" customWidth="1"/>
    <x:col min="4" max="4" width="20" hidden="0" customWidth="1"/>
    <x:col min="5" max="5" width="20" hidden="0" customWidth="1"/>
    <x:col min="6" max="6" width="17" hidden="0" customWidth="1"/>
    <x:col min="7" max="7" width="22" hidden="0" customWidth="1"/>
    <x:col min="8" max="8" width="17" hidden="0" customWidth="1"/>
  </x:cols>
  <x:sheetData>
    <x:row r="1" ht="15" hidden="0" customHeight="1">
      <x:c r="A1" s="54" t="str">
        <x:v>관측일_KST</x:v>
      </x:c>
      <x:c r="B1" s="54" t="str">
        <x:v>관측소_ID</x:v>
      </x:c>
      <x:c r="C1" s="54" t="str">
        <x:v>일평균풍속_m_s</x:v>
      </x:c>
      <x:c r="D1" s="54" t="str">
        <x:v>일최대풍속_m_s</x:v>
      </x:c>
      <x:c r="E1" s="54" t="str">
        <x:v>최대풍속시_풍향_deg</x:v>
      </x:c>
      <x:c r="F1" s="54" t="str">
        <x:v>실제_합성</x:v>
      </x:c>
      <x:c r="G1" s="54" t="str">
        <x:v>출처_ID</x:v>
      </x:c>
      <x:c r="H1" s="54" t="str">
        <x:v>품질플래그</x:v>
      </x:c>
    </x:row>
    <x:row r="2" ht="15" hidden="0" customHeight="1">
      <x:c r="A2" s="56" t="n">
        <x:v>46223</x:v>
      </x:c>
      <x:c r="B2" s="13" t="str">
        <x:v>108</x:v>
      </x:c>
      <x:c r="C2" s="50" t="n">
        <x:v>1.8</x:v>
      </x:c>
      <x:c r="D2" s="50" t="n">
        <x:v>3.2</x:v>
      </x:c>
      <x:c r="E2" s="50" t="n">
        <x:v>5</x:v>
      </x:c>
      <x:c r="F2" s="13" t="str">
        <x:v>실제 관측</x:v>
      </x:c>
      <x:c r="G2" s="13" t="str">
        <x:v>KMA-DAILY-20260727</x:v>
      </x:c>
      <x:c r="H2" s="13" t="str">
        <x:v>PASS</x:v>
      </x:c>
    </x:row>
    <x:row r="3" ht="15" hidden="0" customHeight="1">
      <x:c r="A3" s="56" t="n">
        <x:v>46224</x:v>
      </x:c>
      <x:c r="B3" s="13" t="str">
        <x:v>108</x:v>
      </x:c>
      <x:c r="C3" s="50" t="n">
        <x:v>2.4</x:v>
      </x:c>
      <x:c r="D3" s="50" t="n">
        <x:v>6.8</x:v>
      </x:c>
      <x:c r="E3" s="50" t="n">
        <x:v>20</x:v>
      </x:c>
      <x:c r="F3" s="13" t="str">
        <x:v>실제 관측</x:v>
      </x:c>
      <x:c r="G3" s="13" t="str">
        <x:v>KMA-DAILY-20260727</x:v>
      </x:c>
      <x:c r="H3" s="13" t="str">
        <x:v>PASS</x:v>
      </x:c>
    </x:row>
    <x:row r="4" ht="15" hidden="0" customHeight="1">
      <x:c r="A4" s="56" t="n">
        <x:v>46225</x:v>
      </x:c>
      <x:c r="B4" s="13" t="str">
        <x:v>108</x:v>
      </x:c>
      <x:c r="C4" s="50" t="n">
        <x:v>1.3</x:v>
      </x:c>
      <x:c r="D4" s="50" t="n">
        <x:v>3.2</x:v>
      </x:c>
      <x:c r="E4" s="50" t="n">
        <x:v>20</x:v>
      </x:c>
      <x:c r="F4" s="13" t="str">
        <x:v>실제 관측</x:v>
      </x:c>
      <x:c r="G4" s="13" t="str">
        <x:v>KMA-DAILY-20260727</x:v>
      </x:c>
      <x:c r="H4" s="13" t="str">
        <x:v>PASS</x:v>
      </x:c>
    </x:row>
    <x:row r="5" ht="15" hidden="0" customHeight="1">
      <x:c r="A5" s="56" t="n">
        <x:v>46226</x:v>
      </x:c>
      <x:c r="B5" s="13" t="str">
        <x:v>108</x:v>
      </x:c>
      <x:c r="C5" s="50" t="n">
        <x:v>2.7</x:v>
      </x:c>
      <x:c r="D5" s="50" t="n">
        <x:v>6.3</x:v>
      </x:c>
      <x:c r="E5" s="50" t="n">
        <x:v>20</x:v>
      </x:c>
      <x:c r="F5" s="13" t="str">
        <x:v>실제 관측</x:v>
      </x:c>
      <x:c r="G5" s="13" t="str">
        <x:v>KMA-DAILY-20260727</x:v>
      </x:c>
      <x:c r="H5" s="13" t="str">
        <x:v>PASS</x:v>
      </x:c>
    </x:row>
    <x:row r="6" ht="15" hidden="0" customHeight="1">
      <x:c r="A6" s="56" t="n">
        <x:v>46227</x:v>
      </x:c>
      <x:c r="B6" s="13" t="str">
        <x:v>108</x:v>
      </x:c>
      <x:c r="C6" s="50" t="n">
        <x:v>2.7</x:v>
      </x:c>
      <x:c r="D6" s="50" t="n">
        <x:v>5</x:v>
      </x:c>
      <x:c r="E6" s="50" t="n">
        <x:v>23</x:v>
      </x:c>
      <x:c r="F6" s="13" t="str">
        <x:v>실제 관측</x:v>
      </x:c>
      <x:c r="G6" s="13" t="str">
        <x:v>KMA-DAILY-20260727</x:v>
      </x:c>
      <x:c r="H6" s="13" t="str">
        <x:v>PASS</x:v>
      </x:c>
    </x:row>
    <x:row r="7" ht="15" hidden="0" customHeight="1">
      <x:c r="A7" s="56" t="n">
        <x:v>46228</x:v>
      </x:c>
      <x:c r="B7" s="13" t="str">
        <x:v>108</x:v>
      </x:c>
      <x:c r="C7" s="50" t="n">
        <x:v>2.4</x:v>
      </x:c>
      <x:c r="D7" s="50" t="n">
        <x:v>5.4</x:v>
      </x:c>
      <x:c r="E7" s="50" t="n">
        <x:v>20</x:v>
      </x:c>
      <x:c r="F7" s="13" t="str">
        <x:v>실제 관측</x:v>
      </x:c>
      <x:c r="G7" s="13" t="str">
        <x:v>KMA-DAILY-20260727</x:v>
      </x:c>
      <x:c r="H7" s="13" t="str">
        <x:v>PASS</x:v>
      </x:c>
    </x:row>
    <x:row r="8" ht="15" hidden="0" customHeight="1">
      <x:c r="A8" s="57" t="n">
        <x:v>46229</x:v>
      </x:c>
      <x:c r="B8" s="14" t="str">
        <x:v>108</x:v>
      </x:c>
      <x:c r="C8" s="60" t="n">
        <x:v>2.5</x:v>
      </x:c>
      <x:c r="D8" s="60" t="n">
        <x:v>4.7</x:v>
      </x:c>
      <x:c r="E8" s="60" t="n">
        <x:v>27</x:v>
      </x:c>
      <x:c r="F8" s="14" t="str">
        <x:v>실제 관측</x:v>
      </x:c>
      <x:c r="G8" s="14" t="str">
        <x:v>KMA-DAILY-20260727</x:v>
      </x:c>
      <x:c r="H8" s="14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3099dd3f96654b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8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 ht="19.200000762939453" hidden="0" customHeight="1">
      <x:c r="A1" s="42" t="str">
        <x:v>QRC2026 D3 기상청 풍향·풍속 공식 관측 정본</x:v>
      </x:c>
      <x:c r="B1" s="42" t="str">
        <x:v>QRC2026 D3 기상청 풍향·풍속 공식 관측 정본</x:v>
      </x:c>
      <x:c r="C1" s="42" t="str">
        <x:v>QRC2026 D3 기상청 풍향·풍속 공식 관측 정본</x:v>
      </x:c>
      <x:c r="D1" s="42" t="str">
        <x:v>QRC2026 D3 기상청 풍향·풍속 공식 관측 정본</x:v>
      </x:c>
      <x:c r="E1" s="42" t="str">
        <x:v>QRC2026 D3 기상청 풍향·풍속 공식 관측 정본</x:v>
      </x:c>
      <x:c r="F1" s="42" t="str">
        <x:v>QRC2026 D3 기상청 풍향·풍속 공식 관측 정본</x:v>
      </x:c>
    </x:row>
    <x:row r="2" ht="15" hidden="0" customHeight="1">
      <x:c r="A2" s="13"/>
      <x:c r="B2" s="13"/>
      <x:c r="C2" s="13"/>
      <x:c r="D2" s="13"/>
      <x:c r="E2" s="13"/>
      <x:c r="F2" s="13"/>
    </x:row>
    <x:row r="3" ht="15" hidden="0" customHeight="1">
      <x:c r="A3" s="46" t="str">
        <x:v>항목</x:v>
      </x:c>
      <x:c r="B3" s="46" t="str">
        <x:v>내용</x:v>
      </x:c>
      <x:c r="C3" s="13"/>
      <x:c r="D3" s="13"/>
      <x:c r="E3" s="13"/>
      <x:c r="F3" s="13"/>
    </x:row>
    <x:row r="4" ht="15" hidden="0" customHeight="1">
      <x:c r="A4" s="48" t="str">
        <x:v>상태</x:v>
      </x:c>
      <x:c r="B4" s="13" t="str">
        <x:v>D3 완료 — 시간별 기간조회 승인 확인 및 공식 관측 수집</x:v>
      </x:c>
      <x:c r="C4" s="13"/>
      <x:c r="D4" s="13"/>
      <x:c r="E4" s="13"/>
      <x:c r="F4" s="13"/>
    </x:row>
    <x:row r="5" ht="15" hidden="0" customHeight="1">
      <x:c r="A5" s="48" t="str">
        <x:v>관측소</x:v>
      </x:c>
      <x:c r="B5" s="13" t="str">
        <x:v>108(서울). 실제 반도체 현장 대표성은 제한됨</x:v>
      </x:c>
      <x:c r="C5" s="13"/>
      <x:c r="D5" s="13"/>
      <x:c r="E5" s="13"/>
      <x:c r="F5" s="13"/>
    </x:row>
    <x:row r="6" ht="15" hidden="0" customHeight="1">
      <x:c r="A6" s="48" t="str">
        <x:v>시간자료 기간</x:v>
      </x:c>
      <x:c r="B6" s="13" t="str">
        <x:v>2026-07-26 00:00 ~ 2026-07-27 00:00 KST</x:v>
      </x:c>
      <x:c r="C6" s="13"/>
      <x:c r="D6" s="13"/>
      <x:c r="E6" s="13"/>
      <x:c r="F6" s="13"/>
    </x:row>
    <x:row r="7" ht="15" hidden="0" customHeight="1">
      <x:c r="A7" s="48" t="str">
        <x:v>시간자료 행수</x:v>
      </x:c>
      <x:c r="B7" s="13" t="n">
        <x:f>COUNTA('정제데이터'!$A$2:$A$26)</x:f>
        <x:v>25</x:v>
      </x:c>
      <x:c r="C7" s="13"/>
      <x:c r="D7" s="13"/>
      <x:c r="E7" s="13"/>
      <x:c r="F7" s="13"/>
    </x:row>
    <x:row r="8" ht="15" hidden="0" customHeight="1">
      <x:c r="A8" s="48" t="str">
        <x:v>평균 풍속_m_s</x:v>
      </x:c>
      <x:c r="B8" s="50" t="n">
        <x:f>AVERAGE('정제데이터'!$E$2:$E$26)</x:f>
        <x:v>2.5359999999999996</x:v>
      </x:c>
      <x:c r="C8" s="13"/>
      <x:c r="D8" s="13"/>
      <x:c r="E8" s="13"/>
      <x:c r="F8" s="13"/>
    </x:row>
    <x:row r="9" ht="15" hidden="0" customHeight="1">
      <x:c r="A9" s="48" t="str">
        <x:v>90퍼센타일 풍속_m_s</x:v>
      </x:c>
      <x:c r="B9" s="50" t="n">
        <x:f>SMALL('정제데이터'!$E$2:$E$26,ROUND(0.9*(COUNT('정제데이터'!$E$2:$E$26)-1),0)+1)</x:f>
        <x:v>3.8</x:v>
      </x:c>
      <x:c r="C9" s="13"/>
      <x:c r="D9" s="13"/>
      <x:c r="E9" s="13"/>
      <x:c r="F9" s="13"/>
    </x:row>
    <x:row r="10" ht="15" hidden="0" customHeight="1">
      <x:c r="A10" s="48" t="str">
        <x:v>최대 풍속_m_s</x:v>
      </x:c>
      <x:c r="B10" s="50" t="n">
        <x:f>MAX('정제데이터'!$E$2:$E$26)</x:f>
        <x:v>4.3</x:v>
      </x:c>
      <x:c r="C10" s="13"/>
      <x:c r="D10" s="13"/>
      <x:c r="E10" s="13"/>
      <x:c r="F10" s="13"/>
    </x:row>
    <x:row r="11" ht="15" hidden="0" customHeight="1">
      <x:c r="A11" s="48" t="str">
        <x:v>대표 풍향</x:v>
      </x:c>
      <x:c r="B11" s="13" t="str">
        <x:v>33.8° (16방위 최빈 구간 중앙값; Python 요약 계산)</x:v>
      </x:c>
      <x:c r="C11" s="13"/>
      <x:c r="D11" s="13"/>
      <x:c r="E11" s="13"/>
      <x:c r="F11" s="13"/>
    </x:row>
    <x:row r="12" ht="15" hidden="0" customHeight="1">
      <x:c r="A12" s="48" t="str">
        <x:v>일자료 기간</x:v>
      </x:c>
      <x:c r="B12" s="13" t="str">
        <x:v>2026-07-20 ~ 2026-07-26 KST</x:v>
      </x:c>
      <x:c r="C12" s="13"/>
      <x:c r="D12" s="13"/>
      <x:c r="E12" s="13"/>
      <x:c r="F12" s="13"/>
    </x:row>
    <x:row r="13" ht="15" hidden="0" customHeight="1">
      <x:c r="A13" s="48" t="str">
        <x:v>일자료 행수</x:v>
      </x:c>
      <x:c r="B13" s="13" t="n">
        <x:f>COUNTA('일자료'!$A$2:$A$8)</x:f>
        <x:v>7</x:v>
      </x:c>
      <x:c r="C13" s="13"/>
      <x:c r="D13" s="13"/>
      <x:c r="E13" s="13"/>
      <x:c r="F13" s="13"/>
    </x:row>
    <x:row r="14" ht="15" hidden="0" customHeight="1">
      <x:c r="A14" s="48" t="str">
        <x:v>수집 방법</x:v>
      </x:c>
      <x:c r="B14" s="13" t="str">
        <x:v>기상청 API허브 kma_sfctm3·kma_sfcdd3 각 1회 호출</x:v>
      </x:c>
      <x:c r="C14" s="13"/>
      <x:c r="D14" s="13"/>
      <x:c r="E14" s="13"/>
      <x:c r="F14" s="13"/>
    </x:row>
    <x:row r="15" ht="15" hidden="0" customHeight="1">
      <x:c r="A15" s="13"/>
      <x:c r="B15" s="13"/>
      <x:c r="C15" s="13"/>
      <x:c r="D15" s="13"/>
      <x:c r="E15" s="13"/>
      <x:c r="F15" s="13"/>
    </x:row>
    <x:row r="16" ht="15" hidden="0" customHeight="1">
      <x:c r="A16" s="46" t="str">
        <x:v>사용 지침</x:v>
      </x:c>
      <x:c r="B16" s="46" t="str">
        <x:v>내용</x:v>
      </x:c>
      <x:c r="C16" s="46"/>
      <x:c r="D16" s="46"/>
      <x:c r="E16" s="46"/>
      <x:c r="F16" s="46"/>
    </x:row>
    <x:row r="17" ht="15" hidden="0" customHeight="1">
      <x:c r="A17" s="13" t="str">
        <x:v>QUBO 입력</x:v>
      </x:c>
      <x:c r="B17" s="13" t="str">
        <x:v>풍속 90퍼센타일 3.8 m/s와 16방위 최빈 방향 33.8°를 보수적 대표값으로 사용</x:v>
      </x:c>
      <x:c r="C17" s="13"/>
      <x:c r="D17" s="13"/>
      <x:c r="E17" s="13"/>
      <x:c r="F17" s="13"/>
    </x:row>
    <x:row r="18" ht="15" hidden="0" customHeight="1">
      <x:c r="A18" s="13" t="str">
        <x:v>표현 원칙</x:v>
      </x:c>
      <x:c r="B18" s="13" t="str">
        <x:v>실제 관측이며 합성·보간 없음. 서울 관측소를 현장 기상으로 과장하지 않음</x:v>
      </x:c>
      <x:c r="C18" s="13"/>
      <x:c r="D18" s="13"/>
      <x:c r="E18" s="13"/>
      <x:c r="F18" s="13"/>
    </x:row>
    <x:row r="19" ht="15" hidden="0" customHeight="1">
      <x:c r="A19" s="13" t="str">
        <x:v>한계</x:v>
      </x:c>
      <x:c r="B19" s="13" t="str">
        <x:v>25시간·단일 관측소의 단기 표본. 국지 건설현장 난류·건물 영향·CFD를 대표하지 않음</x:v>
      </x:c>
      <x:c r="C19" s="13"/>
      <x:c r="D19" s="13"/>
      <x:c r="E19" s="13"/>
      <x:c r="F19" s="13"/>
    </x:row>
    <x:row r="20" ht="15" hidden="0" customHeight="1">
      <x:c r="A20" s="14" t="str">
        <x:v>대체 관계</x:v>
      </x:c>
      <x:c r="B20" s="14" t="str">
        <x:v>기존 KMA_wind_timeseries_BLOCKED.xlsx는 차단 이력 보고서이며, 본 파일이 D3 데이터 정본</x:v>
      </x:c>
      <x:c r="C20" s="14"/>
      <x:c r="D20" s="14"/>
      <x:c r="E20" s="14"/>
      <x:c r="F20" s="14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15" hidden="0" customHeight="1">
      <x:c r="A1" s="54" t="str">
        <x:v>필드</x:v>
      </x:c>
      <x:c r="B1" s="54" t="str">
        <x:v>정의</x:v>
      </x:c>
      <x:c r="C1" s="54" t="str">
        <x:v>단위</x:v>
      </x:c>
      <x:c r="D1" s="54" t="str">
        <x:v>원시값</x:v>
      </x:c>
      <x:c r="E1" s="54" t="str">
        <x:v>정제값</x:v>
      </x:c>
      <x:c r="F1" s="54" t="str">
        <x:v>자료형</x:v>
      </x:c>
      <x:c r="G1" s="54" t="str">
        <x:v>필수</x:v>
      </x:c>
      <x:c r="H1" s="54" t="str">
        <x:v>결측 처리</x:v>
      </x:c>
      <x:c r="I1" s="54" t="str">
        <x:v>적용 가정</x:v>
      </x:c>
      <x:c r="J1" s="54" t="str">
        <x:v>사용 제한</x:v>
      </x:c>
    </x:row>
    <x:row r="2" ht="15" hidden="0" customHeight="1">
      <x:c r="A2" s="13" t="str">
        <x:v>관측일_KST</x:v>
      </x:c>
      <x:c r="B2" s="13" t="str">
        <x:v>시간·일자료 관측 일자</x:v>
      </x:c>
      <x:c r="C2" s="13" t="str">
        <x:v>KST</x:v>
      </x:c>
      <x:c r="D2" s="13" t="str">
        <x:v>YYYYMMDD[HHMM]</x:v>
      </x:c>
      <x:c r="E2" s="13" t="str">
        <x:v>Excel date</x:v>
      </x:c>
      <x:c r="F2" s="13" t="str">
        <x:v>날짜</x:v>
      </x:c>
      <x:c r="G2" s="13" t="str">
        <x:v>Y</x:v>
      </x:c>
      <x:c r="H2" s="13" t="str">
        <x:v>행 제외</x:v>
      </x:c>
      <x:c r="I2" s="13" t="str">
        <x:v>KST 기준</x:v>
      </x:c>
      <x:c r="J2" s="13" t="str">
        <x:v>UTC로 오해 금지</x:v>
      </x:c>
    </x:row>
    <x:row r="3" ht="24" hidden="0" customHeight="1">
      <x:c r="A3" s="13" t="str">
        <x:v>시각_HHMM</x:v>
      </x:c>
      <x:c r="B3" s="13" t="str">
        <x:v>시간자료 관측 시각</x:v>
      </x:c>
      <x:c r="C3" s="13" t="str">
        <x:v>KST</x:v>
      </x:c>
      <x:c r="D3" s="13" t="str">
        <x:v>YYYYMMDDHHMM 뒤 4자리</x:v>
      </x:c>
      <x:c r="E3" s="13" t="str">
        <x:v>HH:MM</x:v>
      </x:c>
      <x:c r="F3" s="13" t="str">
        <x:v>문자열</x:v>
      </x:c>
      <x:c r="G3" s="13" t="str">
        <x:v>Y</x:v>
      </x:c>
      <x:c r="H3" s="13" t="str">
        <x:v>행 제외</x:v>
      </x:c>
      <x:c r="I3" s="13" t="str">
        <x:v>KST 기준</x:v>
      </x:c>
      <x:c r="J3" s="13" t="str">
        <x:v>날짜와 함께 사용</x:v>
      </x:c>
    </x:row>
    <x:row r="4" ht="15" hidden="0" customHeight="1">
      <x:c r="A4" s="13" t="str">
        <x:v>관측소_ID</x:v>
      </x:c>
      <x:c r="B4" s="13" t="str">
        <x:v>기상청 국내 지점번호</x:v>
      </x:c>
      <x:c r="C4" s="13" t="str">
        <x:v>없음</x:v>
      </x:c>
      <x:c r="D4" s="13" t="str">
        <x:v>108</x:v>
      </x:c>
      <x:c r="E4" s="13" t="str">
        <x:v>108</x:v>
      </x:c>
      <x:c r="F4" s="13" t="str">
        <x:v>문자열 ID</x:v>
      </x:c>
      <x:c r="G4" s="13" t="str">
        <x:v>Y</x:v>
      </x:c>
      <x:c r="H4" s="13" t="str">
        <x:v>행 제외</x:v>
      </x:c>
      <x:c r="I4" s="13" t="str">
        <x:v>서울 지점</x:v>
      </x:c>
      <x:c r="J4" s="13" t="str">
        <x:v>현장 좌표 대체 아님</x:v>
      </x:c>
    </x:row>
    <x:row r="5" ht="15" hidden="0" customHeight="1">
      <x:c r="A5" s="13" t="str">
        <x:v>풍향_deg</x:v>
      </x:c>
      <x:c r="B5" s="13" t="str">
        <x:v>바람이 불어오는 방향</x:v>
      </x:c>
      <x:c r="C5" s="13" t="str">
        <x:v>degree</x:v>
      </x:c>
      <x:c r="D5" s="13" t="str">
        <x:v>API 수치</x:v>
      </x:c>
      <x:c r="E5" s="13" t="str">
        <x:v>숫자</x:v>
      </x:c>
      <x:c r="F5" s="13" t="str">
        <x:v>실수</x:v>
      </x:c>
      <x:c r="G5" s="13" t="str">
        <x:v>Y</x:v>
      </x:c>
      <x:c r="H5" s="13" t="str">
        <x:v>행 제외</x:v>
      </x:c>
      <x:c r="I5" s="13" t="str">
        <x:v>0~360</x:v>
      </x:c>
      <x:c r="J5" s="13" t="str">
        <x:v>확산 방향은 +180° 변환</x:v>
      </x:c>
    </x:row>
    <x:row r="6" ht="15" hidden="0" customHeight="1">
      <x:c r="A6" s="13" t="str">
        <x:v>풍속_m_s</x:v>
      </x:c>
      <x:c r="B6" s="13" t="str">
        <x:v>시간 관측 풍속</x:v>
      </x:c>
      <x:c r="C6" s="13" t="str">
        <x:v>m/s</x:v>
      </x:c>
      <x:c r="D6" s="13" t="str">
        <x:v>API 수치</x:v>
      </x:c>
      <x:c r="E6" s="13" t="str">
        <x:v>숫자</x:v>
      </x:c>
      <x:c r="F6" s="13" t="str">
        <x:v>실수</x:v>
      </x:c>
      <x:c r="G6" s="13" t="str">
        <x:v>Y</x:v>
      </x:c>
      <x:c r="H6" s="13" t="str">
        <x:v>행 제외</x:v>
      </x:c>
      <x:c r="I6" s="13" t="str">
        <x:v>0 이상</x:v>
      </x:c>
      <x:c r="J6" s="13" t="str">
        <x:v>국지 난류 미반영</x:v>
      </x:c>
    </x:row>
    <x:row r="7" ht="15" hidden="0" customHeight="1">
      <x:c r="A7" s="13" t="str">
        <x:v>일평균풍속_m_s</x:v>
      </x:c>
      <x:c r="B7" s="13" t="str">
        <x:v>일 평균 풍속</x:v>
      </x:c>
      <x:c r="C7" s="13" t="str">
        <x:v>m/s</x:v>
      </x:c>
      <x:c r="D7" s="13" t="str">
        <x:v>API 수치</x:v>
      </x:c>
      <x:c r="E7" s="13" t="str">
        <x:v>숫자</x:v>
      </x:c>
      <x:c r="F7" s="13" t="str">
        <x:v>실수</x:v>
      </x:c>
      <x:c r="G7" s="13" t="str">
        <x:v>Y</x:v>
      </x:c>
      <x:c r="H7" s="13" t="str">
        <x:v>결측 코드 제외</x:v>
      </x:c>
      <x:c r="I7" s="13" t="str">
        <x:v>공식 일자료</x:v>
      </x:c>
      <x:c r="J7" s="13" t="str">
        <x:v>단기 표본</x:v>
      </x:c>
    </x:row>
    <x:row r="8" ht="15" hidden="0" customHeight="1">
      <x:c r="A8" s="13" t="str">
        <x:v>일최대풍속_m_s</x:v>
      </x:c>
      <x:c r="B8" s="13" t="str">
        <x:v>일 최대 풍속</x:v>
      </x:c>
      <x:c r="C8" s="13" t="str">
        <x:v>m/s</x:v>
      </x:c>
      <x:c r="D8" s="13" t="str">
        <x:v>API 수치</x:v>
      </x:c>
      <x:c r="E8" s="13" t="str">
        <x:v>숫자</x:v>
      </x:c>
      <x:c r="F8" s="13" t="str">
        <x:v>실수</x:v>
      </x:c>
      <x:c r="G8" s="13" t="str">
        <x:v>N</x:v>
      </x:c>
      <x:c r="H8" s="13" t="str">
        <x:v>결측 코드 제외</x:v>
      </x:c>
      <x:c r="I8" s="13" t="str">
        <x:v>공식 일자료</x:v>
      </x:c>
      <x:c r="J8" s="13" t="str">
        <x:v>순간최대와 구분</x:v>
      </x:c>
    </x:row>
    <x:row r="9" ht="15" hidden="0" customHeight="1">
      <x:c r="A9" s="13" t="str">
        <x:v>최대풍속시_풍향_deg</x:v>
      </x:c>
      <x:c r="B9" s="13" t="str">
        <x:v>일 최대풍속 시 풍향</x:v>
      </x:c>
      <x:c r="C9" s="13" t="str">
        <x:v>degree</x:v>
      </x:c>
      <x:c r="D9" s="13" t="str">
        <x:v>API 수치</x:v>
      </x:c>
      <x:c r="E9" s="13" t="str">
        <x:v>숫자</x:v>
      </x:c>
      <x:c r="F9" s="13" t="str">
        <x:v>실수</x:v>
      </x:c>
      <x:c r="G9" s="13" t="str">
        <x:v>N</x:v>
      </x:c>
      <x:c r="H9" s="13" t="str">
        <x:v>결측 코드 제외</x:v>
      </x:c>
      <x:c r="I9" s="13" t="str">
        <x:v>0~360</x:v>
      </x:c>
      <x:c r="J9" s="13" t="str">
        <x:v>시간 최빈 풍향과 구분</x:v>
      </x:c>
    </x:row>
    <x:row r="10" ht="15" hidden="0" customHeight="1">
      <x:c r="A10" s="13" t="str">
        <x:v>풍향_16방위</x:v>
      </x:c>
      <x:c r="B10" s="13" t="str">
        <x:v>풍향을 22.5° 구간으로 분류</x:v>
      </x:c>
      <x:c r="C10" s="13" t="str">
        <x:v>범주</x:v>
      </x:c>
      <x:c r="D10" s="13" t="str">
        <x:v>풍향_deg</x:v>
      </x:c>
      <x:c r="E10" s="13" t="str">
        <x:v>N/NNE/.../NNW</x:v>
      </x:c>
      <x:c r="F10" s="13" t="str">
        <x:v>문자열</x:v>
      </x:c>
      <x:c r="G10" s="13" t="str">
        <x:v>Y</x:v>
      </x:c>
      <x:c r="H10" s="13" t="str">
        <x:v>원시 풍향 결측 시 결측</x:v>
      </x:c>
      <x:c r="I10" s="13" t="str">
        <x:v>최근접 방위</x:v>
      </x:c>
      <x:c r="J10" s="13" t="str">
        <x:v>원시 각도 함께 보존</x:v>
      </x:c>
    </x:row>
    <x:row r="11" ht="15" hidden="0" customHeight="1">
      <x:c r="A11" s="14" t="str">
        <x:v>실제_합성</x:v>
      </x:c>
      <x:c r="B11" s="14" t="str">
        <x:v>실측·합성 구분</x:v>
      </x:c>
      <x:c r="C11" s="14" t="str">
        <x:v>범주</x:v>
      </x:c>
      <x:c r="D11" s="14" t="str">
        <x:v>API 출처</x:v>
      </x:c>
      <x:c r="E11" s="14" t="str">
        <x:v>실제 관측</x:v>
      </x:c>
      <x:c r="F11" s="14" t="str">
        <x:v>문자열</x:v>
      </x:c>
      <x:c r="G11" s="14" t="str">
        <x:v>Y</x:v>
      </x:c>
      <x:c r="H11" s="14" t="str">
        <x:v>없음</x:v>
      </x:c>
      <x:c r="I11" s="14" t="str">
        <x:v>합성·보간 없음</x:v>
      </x:c>
      <x:c r="J11" s="14" t="str">
        <x:v>관측소 대표성 별도 판단</x:v>
      </x:c>
    </x:row>
  </x:sheetData>
  <x:pageMargins left="0.7" right="0.7" top="0.75" bottom="0.75" header="0.3" footer="0.3"/>
  <x:tableParts count="1">
    <x:tablePart xmlns:r="http://schemas.openxmlformats.org/officeDocument/2006/relationships" r:id="R5cc5ba0d06c64a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52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</x:cols>
  <x:sheetData>
    <x:row r="1" ht="15" hidden="0" customHeight="1">
      <x:c r="A1" s="54" t="str">
        <x:v>출처_ID</x:v>
      </x:c>
      <x:c r="B1" s="54" t="str">
        <x:v>출처명</x:v>
      </x:c>
      <x:c r="C1" s="54" t="str">
        <x:v>원문_URL</x:v>
      </x:c>
      <x:c r="D1" s="54" t="str">
        <x:v>원문 위치</x:v>
      </x:c>
      <x:c r="E1" s="54" t="str">
        <x:v>확인일</x:v>
      </x:c>
      <x:c r="F1" s="54" t="str">
        <x:v>근거 유형</x:v>
      </x:c>
      <x:c r="G1" s="54" t="str">
        <x:v>라이선스·이용조건</x:v>
      </x:c>
      <x:c r="H1" s="54" t="str">
        <x:v>실제_합성</x:v>
      </x:c>
      <x:c r="I1" s="54" t="str">
        <x:v>한계</x:v>
      </x:c>
    </x:row>
    <x:row r="2" ht="24" hidden="0" customHeight="1">
      <x:c r="A2" s="13" t="str">
        <x:v>KMA-HOURLY-20260727</x:v>
      </x:c>
      <x:c r="B2" s="13" t="str">
        <x:v>기상청 API허브 지상관측 시간자료 기간조회</x:v>
      </x:c>
      <x:c r="C2" s="13" t="str">
        <x:v>https://apihub.kma.go.kr/api/typ01/url/kma_sfctm3.php</x:v>
      </x:c>
      <x:c r="D2" s="13" t="str">
        <x:v>kma_sfctm3 응답 TM/STN/WD/WS</x:v>
      </x:c>
      <x:c r="E2" s="56" t="n">
        <x:v>46230</x:v>
      </x:c>
      <x:c r="F2" s="13" t="str">
        <x:v>공식 공공기관 API</x:v>
      </x:c>
      <x:c r="G2" s="13" t="str">
        <x:v>기상청 API허브 이용조건 준수·출처 표시. 제출 전 재배포 조건 재확인</x:v>
      </x:c>
      <x:c r="H2" s="13" t="str">
        <x:v>실제 관측</x:v>
      </x:c>
      <x:c r="I2" s="13" t="str">
        <x:v>관측소 108·25시간</x:v>
      </x:c>
    </x:row>
    <x:row r="3" ht="36" hidden="0" customHeight="1">
      <x:c r="A3" s="13" t="str">
        <x:v>KMA-DAILY-20260727</x:v>
      </x:c>
      <x:c r="B3" s="13" t="str">
        <x:v>기상청 API허브 지상관측 일자료</x:v>
      </x:c>
      <x:c r="C3" s="13" t="str">
        <x:v>https://apihub.kma.go.kr/api/typ01/url/kma_sfcdd3.php</x:v>
      </x:c>
      <x:c r="D3" s="13" t="str">
        <x:v>번호형 도움말 TM/STN/WS_AVG/WD_MAX/WS_MAX</x:v>
      </x:c>
      <x:c r="E3" s="56" t="n">
        <x:v>46230</x:v>
      </x:c>
      <x:c r="F3" s="13" t="str">
        <x:v>공식 공공기관 API</x:v>
      </x:c>
      <x:c r="G3" s="13" t="str">
        <x:v>기상청 API허브 이용조건 준수·출처 표시. 제출 전 재배포 조건 재확인</x:v>
      </x:c>
      <x:c r="H3" s="13" t="str">
        <x:v>실제 관측</x:v>
      </x:c>
      <x:c r="I3" s="13" t="str">
        <x:v>관측소 108·7일</x:v>
      </x:c>
    </x:row>
    <x:row r="4" ht="24" hidden="0" customHeight="1">
      <x:c r="A4" s="14" t="str">
        <x:v>KMA-API-INFO</x:v>
      </x:c>
      <x:c r="B4" s="14" t="str">
        <x:v>기상청 API허브 API 정보</x:v>
      </x:c>
      <x:c r="C4" s="14" t="str">
        <x:v>https://apihub.kma.go.kr/apiInfo.do</x:v>
      </x:c>
      <x:c r="D4" s="14" t="str">
        <x:v>지상관측 자료 API 안내</x:v>
      </x:c>
      <x:c r="E4" s="57" t="n">
        <x:v>46230</x:v>
      </x:c>
      <x:c r="F4" s="14" t="str">
        <x:v>공식 문서</x:v>
      </x:c>
      <x:c r="G4" s="14" t="str">
        <x:v>API허브 약관·호출 정책 준수</x:v>
      </x:c>
      <x:c r="H4" s="14" t="str">
        <x:v>해당 없음</x:v>
      </x:c>
      <x:c r="I4" s="14" t="str">
        <x:v>로그인·활용신청 상태에 따라 접근 가능</x:v>
      </x:c>
    </x:row>
  </x:sheetData>
  <x:pageMargins left="0.7" right="0.7" top="0.75" bottom="0.75" header="0.3" footer="0.3"/>
  <x:tableParts count="1">
    <x:tablePart xmlns:r="http://schemas.openxmlformats.org/officeDocument/2006/relationships" r:id="R2668694dcaf84ef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2" hidden="0" customWidth="1"/>
    <x:col min="6" max="6" width="32" hidden="0" customWidth="1"/>
  </x:cols>
  <x:sheetData>
    <x:row r="1" ht="15" hidden="0" customHeight="1">
      <x:c r="A1" s="54" t="str">
        <x:v>검사_ID</x:v>
      </x:c>
      <x:c r="B1" s="54" t="str">
        <x:v>대상</x:v>
      </x:c>
      <x:c r="C1" s="54" t="str">
        <x:v>검사</x:v>
      </x:c>
      <x:c r="D1" s="54" t="str">
        <x:v>결과</x:v>
      </x:c>
      <x:c r="E1" s="54" t="str">
        <x:v>근거</x:v>
      </x:c>
      <x:c r="F1" s="54" t="str">
        <x:v>남은 한계</x:v>
      </x:c>
    </x:row>
    <x:row r="2" ht="15" hidden="0" customHeight="1">
      <x:c r="A2" s="13" t="str">
        <x:v>Q-001</x:v>
      </x:c>
      <x:c r="B2" s="13" t="str">
        <x:v>시간 CSV</x:v>
      </x:c>
      <x:c r="C2" s="13" t="str">
        <x:v>엄격한 UTF-8 + BOM</x:v>
      </x:c>
      <x:c r="D2" s="13" t="str">
        <x:v>PASS</x:v>
      </x:c>
      <x:c r="E2" s="13" t="str">
        <x:v>utf-8-sig 디코딩 및 BOM 확인</x:v>
      </x:c>
      <x:c r="F2" s="13" t="str">
        <x:v>없음</x:v>
      </x:c>
    </x:row>
    <x:row r="3" ht="15" hidden="0" customHeight="1">
      <x:c r="A3" s="13" t="str">
        <x:v>Q-002</x:v>
      </x:c>
      <x:c r="B3" s="13" t="str">
        <x:v>일 CSV</x:v>
      </x:c>
      <x:c r="C3" s="13" t="str">
        <x:v>엄격한 UTF-8 + BOM</x:v>
      </x:c>
      <x:c r="D3" s="13" t="str">
        <x:v>PASS</x:v>
      </x:c>
      <x:c r="E3" s="13" t="str">
        <x:v>utf-8-sig 디코딩 및 BOM 확인</x:v>
      </x:c>
      <x:c r="F3" s="13" t="str">
        <x:v>없음</x:v>
      </x:c>
    </x:row>
    <x:row r="4" ht="24" hidden="0" customHeight="1">
      <x:c r="A4" s="13" t="str">
        <x:v>Q-003</x:v>
      </x:c>
      <x:c r="B4" s="13" t="str">
        <x:v>전체</x:v>
      </x:c>
      <x:c r="C4" s="13" t="str">
        <x:v>연속 물음표/U+FFFD/모지바케</x:v>
      </x:c>
      <x:c r="D4" s="13" t="str">
        <x:v>PASS</x:v>
      </x:c>
      <x:c r="E4" s="13" t="str">
        <x:v>문자 손상 표지 0건</x:v>
      </x:c>
      <x:c r="F4" s="13" t="str">
        <x:v>탐지 목록 기반</x:v>
      </x:c>
    </x:row>
    <x:row r="5" ht="15" hidden="0" customHeight="1">
      <x:c r="A5" s="13" t="str">
        <x:v>Q-004</x:v>
      </x:c>
      <x:c r="B5" s="13" t="str">
        <x:v>시간자료</x:v>
      </x:c>
      <x:c r="C5" s="13" t="str">
        <x:v>헤더 중복·빈 헤더</x:v>
      </x:c>
      <x:c r="D5" s="13" t="str">
        <x:v>PASS</x:v>
      </x:c>
      <x:c r="E5" s="13" t="str">
        <x:v>4개 고유 헤더</x:v>
      </x:c>
      <x:c r="F5" s="13" t="str">
        <x:v>없음</x:v>
      </x:c>
    </x:row>
    <x:row r="6" ht="15" hidden="0" customHeight="1">
      <x:c r="A6" s="13" t="str">
        <x:v>Q-005</x:v>
      </x:c>
      <x:c r="B6" s="13" t="str">
        <x:v>일자료</x:v>
      </x:c>
      <x:c r="C6" s="13" t="str">
        <x:v>헤더 중복·빈 헤더</x:v>
      </x:c>
      <x:c r="D6" s="13" t="str">
        <x:v>PASS</x:v>
      </x:c>
      <x:c r="E6" s="13" t="str">
        <x:v>5개 고유 헤더</x:v>
      </x:c>
      <x:c r="F6" s="13" t="str">
        <x:v>없음</x:v>
      </x:c>
    </x:row>
    <x:row r="7" ht="15" hidden="0" customHeight="1">
      <x:c r="A7" s="13" t="str">
        <x:v>Q-006</x:v>
      </x:c>
      <x:c r="B7" s="13" t="str">
        <x:v>시간자료</x:v>
      </x:c>
      <x:c r="C7" s="13" t="str">
        <x:v>행별 열 수</x:v>
      </x:c>
      <x:c r="D7" s="13" t="str">
        <x:v>PASS</x:v>
      </x:c>
      <x:c r="E7" s="13" t="str">
        <x:v>25/25행 4열</x:v>
      </x:c>
      <x:c r="F7" s="13" t="str">
        <x:v>없음</x:v>
      </x:c>
    </x:row>
    <x:row r="8" ht="15" hidden="0" customHeight="1">
      <x:c r="A8" s="13" t="str">
        <x:v>Q-007</x:v>
      </x:c>
      <x:c r="B8" s="13" t="str">
        <x:v>일자료</x:v>
      </x:c>
      <x:c r="C8" s="13" t="str">
        <x:v>행별 열 수</x:v>
      </x:c>
      <x:c r="D8" s="13" t="str">
        <x:v>PASS</x:v>
      </x:c>
      <x:c r="E8" s="13" t="str">
        <x:v>7/7행 5열</x:v>
      </x:c>
      <x:c r="F8" s="13" t="str">
        <x:v>없음</x:v>
      </x:c>
    </x:row>
    <x:row r="9" ht="15" hidden="0" customHeight="1">
      <x:c r="A9" s="13" t="str">
        <x:v>Q-008</x:v>
      </x:c>
      <x:c r="B9" s="13" t="str">
        <x:v>시간자료</x:v>
      </x:c>
      <x:c r="C9" s="13" t="str">
        <x:v>중복 ID(tm+stn)</x:v>
      </x:c>
      <x:c r="D9" s="13" t="str">
        <x:v>PASS</x:v>
      </x:c>
      <x:c r="E9" s="13" t="str">
        <x:v>중복 0건</x:v>
      </x:c>
      <x:c r="F9" s="13" t="str">
        <x:v>없음</x:v>
      </x:c>
    </x:row>
    <x:row r="10" ht="15" hidden="0" customHeight="1">
      <x:c r="A10" s="13" t="str">
        <x:v>Q-009</x:v>
      </x:c>
      <x:c r="B10" s="13" t="str">
        <x:v>일자료</x:v>
      </x:c>
      <x:c r="C10" s="13" t="str">
        <x:v>중복 ID(tm+stn)</x:v>
      </x:c>
      <x:c r="D10" s="13" t="str">
        <x:v>PASS</x:v>
      </x:c>
      <x:c r="E10" s="13" t="str">
        <x:v>중복 0건</x:v>
      </x:c>
      <x:c r="F10" s="13" t="str">
        <x:v>없음</x:v>
      </x:c>
    </x:row>
    <x:row r="11" ht="15" hidden="0" customHeight="1">
      <x:c r="A11" s="13" t="str">
        <x:v>Q-010</x:v>
      </x:c>
      <x:c r="B11" s="13" t="str">
        <x:v>전체</x:v>
      </x:c>
      <x:c r="C11" s="13" t="str">
        <x:v>필수값 결측</x:v>
      </x:c>
      <x:c r="D11" s="13" t="str">
        <x:v>PASS</x:v>
      </x:c>
      <x:c r="E11" s="13" t="str">
        <x:v>결측 0건</x:v>
      </x:c>
      <x:c r="F11" s="13" t="str">
        <x:v>기상청 결측 코드는 행 제외</x:v>
      </x:c>
    </x:row>
    <x:row r="12" ht="15" hidden="0" customHeight="1">
      <x:c r="A12" s="13" t="str">
        <x:v>Q-011</x:v>
      </x:c>
      <x:c r="B12" s="13" t="str">
        <x:v>전체</x:v>
      </x:c>
      <x:c r="C12" s="13" t="str">
        <x:v>숫자 타입·단위 범위</x:v>
      </x:c>
      <x:c r="D12" s="13" t="str">
        <x:v>PASS</x:v>
      </x:c>
      <x:c r="E12" s="13" t="str">
        <x:v>풍속≥0, 풍향 0~360</x:v>
      </x:c>
      <x:c r="F12" s="13" t="str">
        <x:v>물리적 이상치 장기 검증은 미실시</x:v>
      </x:c>
    </x:row>
    <x:row r="13" ht="15" hidden="0" customHeight="1">
      <x:c r="A13" s="13" t="str">
        <x:v>Q-012</x:v>
      </x:c>
      <x:c r="B13" s="13" t="str">
        <x:v>출처</x:v>
      </x:c>
      <x:c r="C13" s="13" t="str">
        <x:v>URL 형식</x:v>
      </x:c>
      <x:c r="D13" s="13" t="str">
        <x:v>PASS</x:v>
      </x:c>
      <x:c r="E13" s="13" t="str">
        <x:v>HTTPS 공식 URL 3개</x:v>
      </x:c>
      <x:c r="F13" s="13" t="str">
        <x:v>실제 호출 URL은 키 미포함</x:v>
      </x:c>
    </x:row>
    <x:row r="14" ht="15" hidden="0" customHeight="1">
      <x:c r="A14" s="13" t="str">
        <x:v>Q-013</x:v>
      </x:c>
      <x:c r="B14" s="13" t="str">
        <x:v>XLSX</x:v>
      </x:c>
      <x:c r="C14" s="13" t="str">
        <x:v>수식 오류</x:v>
      </x:c>
      <x:c r="D14" s="13" t="str">
        <x:v>PASS</x:v>
      </x:c>
      <x:c r="E14" s="13" t="str">
        <x:v>최종 재열기 match 스캔 0건</x:v>
      </x:c>
      <x:c r="F14" s="13" t="str">
        <x:v>렌더 후 확인</x:v>
      </x:c>
    </x:row>
    <x:row r="15" ht="15" hidden="0" customHeight="1">
      <x:c r="A15" s="13" t="str">
        <x:v>Q-014</x:v>
      </x:c>
      <x:c r="B15" s="13" t="str">
        <x:v>XLSX</x:v>
      </x:c>
      <x:c r="C15" s="13" t="str">
        <x:v>전 시트 렌더·한글·잘림</x:v>
      </x:c>
      <x:c r="D15" s="13" t="str">
        <x:v>PASS</x:v>
      </x:c>
      <x:c r="E15" s="13" t="str">
        <x:v>8개 시트 전수 렌더</x:v>
      </x:c>
      <x:c r="F15" s="13" t="str">
        <x:v>Excel 버전별 표시 차이 가능</x:v>
      </x:c>
    </x:row>
    <x:row r="16" ht="24" hidden="0" customHeight="1">
      <x:c r="A16" s="14" t="str">
        <x:v>Q-015</x:v>
      </x:c>
      <x:c r="B16" s="14" t="str">
        <x:v>보안</x:v>
      </x:c>
      <x:c r="C16" s="14" t="str">
        <x:v>인증키 포함 여부</x:v>
      </x:c>
      <x:c r="D16" s="14" t="str">
        <x:v>PASS</x:v>
      </x:c>
      <x:c r="E16" s="14" t="str">
        <x:v>산출물은 &lt;KMA_API_KEY&gt; 또는 키 없는 URL만 사용</x:v>
      </x:c>
      <x:c r="F16" s="14" t="str">
        <x:v>로컬 .env는 검사 대상 아님</x:v>
      </x:c>
    </x:row>
  </x:sheetData>
  <x:pageMargins left="0.7" right="0.7" top="0.75" bottom="0.75" header="0.3" footer="0.3"/>
  <x:tableParts count="1">
    <x:tablePart xmlns:r="http://schemas.openxmlformats.org/officeDocument/2006/relationships" r:id="R6972f267346f4c84"/>
  </x:tableParts>
</x:worksheet>
</file>