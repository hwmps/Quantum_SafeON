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1eefd071d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4d9a1d8d1d8453c"/>
    <x:sheet xmlns:r="http://schemas.openxmlformats.org/officeDocument/2006/relationships" name="구역원자료" sheetId="2" r:id="R6bb576b20d9d4eb6"/>
    <x:sheet xmlns:r="http://schemas.openxmlformats.org/officeDocument/2006/relationships" name="센서후보" sheetId="3" r:id="Rbb14e0366afc40ad"/>
    <x:sheet xmlns:r="http://schemas.openxmlformats.org/officeDocument/2006/relationships" name="커버리지행렬" sheetId="4" r:id="R3c0748f3ba90451b"/>
    <x:sheet xmlns:r="http://schemas.openxmlformats.org/officeDocument/2006/relationships" name="센서상세" sheetId="5" r:id="Rd59b188e5b6a4526"/>
    <x:sheet xmlns:r="http://schemas.openxmlformats.org/officeDocument/2006/relationships" name="사고시나리오" sheetId="6" r:id="R93eebd6ddfbc4ac1"/>
    <x:sheet xmlns:r="http://schemas.openxmlformats.org/officeDocument/2006/relationships" name="법규기준" sheetId="7" r:id="R41795590b78f4f0b"/>
    <x:sheet xmlns:r="http://schemas.openxmlformats.org/officeDocument/2006/relationships" name="IonQ파라미터" sheetId="8" r:id="Re9ad729362404147"/>
    <x:sheet xmlns:r="http://schemas.openxmlformats.org/officeDocument/2006/relationships" name="출처" sheetId="9" r:id="Rd265312e3e514199"/>
    <x:sheet xmlns:r="http://schemas.openxmlformats.org/officeDocument/2006/relationships" name="데이터사전" sheetId="10" r:id="Rbc37efa69ede4948"/>
    <x:sheet xmlns:r="http://schemas.openxmlformats.org/officeDocument/2006/relationships" name="품질검사" sheetId="11" r:id="Rfa2ef8616748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.00"/>
    <x:numFmt numFmtId="202" formatCode="#,##0"/>
    <x:numFmt numFmtId="203" formatCode="yyyy-mm-dd"/>
  </x:numFmts>
  <x:fonts count="3">
    <x:font>
      <x:sz val="11"/>
      <x:name val="Carlito"/>
    </x:font>
    <x:font>
      <x:sz val="10"/>
      <x:color rgb="FF172033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0B1F33"/>
      </x:left>
      <x:top style="thin">
        <x:color rgb="FF0B1F33"/>
      </x:top>
      <x:bottom style="thin">
        <x:color rgb="FF0B1F33"/>
      </x:bottom>
    </x:border>
    <x:border>
      <x:right style="thin">
        <x:color rgb="FF0B1F33"/>
      </x:right>
      <x:top style="thin">
        <x:color rgb="FF0B1F33"/>
      </x:top>
      <x:bottom style="thin">
        <x:color rgb="FF0B1F33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top style="thin">
        <x:color rgb="FF0B1F33"/>
      </x:top>
      <x:bottom style="thin">
        <x:color rgb="FF0B1F3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1" fillId="0" borderId="3" xfId="0" applyNumberFormat="1" applyFont="1" applyFill="1" applyBorder="1" applyAlignment="1">
      <x:alignment vertical="center" wrapText="1"/>
    </x:xf>
    <x:xf numFmtId="202" fontId="1" fillId="0" borderId="3" xfId="0" applyNumberFormat="1" applyFont="1" applyFill="1" applyBorder="1" applyAlignment="1">
      <x:alignment vertical="center" wrapText="1"/>
    </x:xf>
    <x:xf numFmtId="203" fontId="1" fillId="0" borderId="3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vertical="center" wrapText="1"/>
    </x:xf>
    <x:xf numFmtId="202" fontId="1" fillId="0" borderId="4" xfId="0" applyNumberFormat="1" applyFont="1" applyFill="1" applyBorder="1" applyAlignment="1">
      <x:alignment vertical="center" wrapText="1"/>
    </x:xf>
    <x:xf numFmtId="203" fontId="1" fillId="0" borderId="4" xfId="0" applyNumberFormat="1" applyFont="1" applyFill="1" applyBorder="1" applyAlignment="1">
      <x:alignment vertical="center" wrapText="1"/>
    </x:xf>
    <x:xf numFmtId="201" fontId="1" fillId="0" borderId="5" xfId="0" applyNumberFormat="1" applyFont="1" applyFill="1" applyBorder="1" applyAlignment="1">
      <x:alignment vertical="center" wrapText="1"/>
    </x:xf>
    <x:xf numFmtId="202" fontId="1" fillId="0" borderId="5" xfId="0" applyNumberFormat="1" applyFont="1" applyFill="1" applyBorder="1" applyAlignment="1">
      <x:alignment vertical="center" wrapText="1"/>
    </x:xf>
    <x:xf numFmtId="203" fontId="1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687d6d7c74ec9" /><Relationship Type="http://schemas.openxmlformats.org/officeDocument/2006/relationships/theme" Target="/xl/theme/theme1.xml" Id="R0c831c0eab354d64" /><Relationship Type="http://schemas.openxmlformats.org/officeDocument/2006/relationships/sharedStrings" Target="/xl/sharedStrings.xml" Id="R3588e8eaaa9e44c2" /><Relationship Type="http://schemas.openxmlformats.org/officeDocument/2006/relationships/worksheet" Target="/xl/worksheets/sheet1.xml" Id="Rc4d9a1d8d1d8453c" /><Relationship Type="http://schemas.openxmlformats.org/officeDocument/2006/relationships/worksheet" Target="/xl/worksheets/sheet2.xml" Id="R6bb576b20d9d4eb6" /><Relationship Type="http://schemas.openxmlformats.org/officeDocument/2006/relationships/worksheet" Target="/xl/worksheets/sheet3.xml" Id="Rbb14e0366afc40ad" /><Relationship Type="http://schemas.openxmlformats.org/officeDocument/2006/relationships/worksheet" Target="/xl/worksheets/sheet4.xml" Id="R3c0748f3ba90451b" /><Relationship Type="http://schemas.openxmlformats.org/officeDocument/2006/relationships/worksheet" Target="/xl/worksheets/sheet5.xml" Id="Rd59b188e5b6a4526" /><Relationship Type="http://schemas.openxmlformats.org/officeDocument/2006/relationships/worksheet" Target="/xl/worksheets/sheet6.xml" Id="R93eebd6ddfbc4ac1" /><Relationship Type="http://schemas.openxmlformats.org/officeDocument/2006/relationships/worksheet" Target="/xl/worksheets/sheet7.xml" Id="R41795590b78f4f0b" /><Relationship Type="http://schemas.openxmlformats.org/officeDocument/2006/relationships/worksheet" Target="/xl/worksheets/sheet8.xml" Id="Re9ad729362404147" /><Relationship Type="http://schemas.openxmlformats.org/officeDocument/2006/relationships/worksheet" Target="/xl/worksheets/sheet9.xml" Id="Rd265312e3e514199" /><Relationship Type="http://schemas.openxmlformats.org/officeDocument/2006/relationships/worksheet" Target="/xl/worksheets/sheet10.xml" Id="Rbc37efa69ede4948" /><Relationship Type="http://schemas.openxmlformats.org/officeDocument/2006/relationships/worksheet" Target="/xl/worksheets/sheet11.xml" Id="Rfa2ef8616748416f" /></Relationships>
</file>

<file path=xl/tables/table1.xml><?xml version="1.0" encoding="utf-8"?>
<x:table xmlns:x="http://schemas.openxmlformats.org/spreadsheetml/2006/main" id="1" name="Table_1" displayName="Table_1" ref="A1:B9" headerRowCount="1" totalsRowCount="0" totalsRowShown="0">
  <x:tableColumns count="2">
    <x:tableColumn id="1" name="항목"/>
    <x:tableColumn id="2" name="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2" displayName="Table_2" ref="A1:J13" headerRowCount="1" totalsRowCount="0" totalsRowShown="0">
  <x:tableColumns count="10">
    <x:tableColumn id="1" name="zone_id"/>
    <x:tableColumn id="2" name="zone_name"/>
    <x:tableColumn id="3" name="zone_type"/>
    <x:tableColumn id="4" name="x_m"/>
    <x:tableColumn id="5" name="y_m"/>
    <x:tableColumn id="6" name="width_m"/>
    <x:tableColumn id="7" name="height_m"/>
    <x:tableColumn id="8" name="adjacent_zone_ids"/>
    <x:tableColumn id="9" name="primary_hazard"/>
    <x:tableColumn id="10" name="data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3" displayName="Table_3" ref="A1:G13" headerRowCount="1" totalsRowCount="0" totalsRowShown="0">
  <x:tableColumns count="7">
    <x:tableColumn id="1" name="candidate_id"/>
    <x:tableColumn id="2" name="zone_id"/>
    <x:tableColumn id="3" name="x_m"/>
    <x:tableColumn id="4" name="y_m"/>
    <x:tableColumn id="5" name="preferred_sensor_family"/>
    <x:tableColumn id="6" name="placement_reason"/>
    <x:tableColumn id="7" name="data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4" displayName="Table_4" ref="A1:Q145" headerRowCount="1" totalsRowCount="0" totalsRowShown="0">
  <x:tableColumns count="17">
    <x:tableColumn id="1" name="candidate_id"/>
    <x:tableColumn id="2" name="zone_id"/>
    <x:tableColumn id="3" name="candidate_zone_id"/>
    <x:tableColumn id="4" name="candidate_x_m"/>
    <x:tableColumn id="5" name="candidate_y_m"/>
    <x:tableColumn id="6" name="zone_center_x_m"/>
    <x:tableColumn id="7" name="zone_center_y_m"/>
    <x:tableColumn id="8" name="distance_m_계산"/>
    <x:tableColumn id="9" name="radius_low_m"/>
    <x:tableColumn id="10" name="radius_nominal_m"/>
    <x:tableColumn id="11" name="radius_high_m"/>
    <x:tableColumn id="12" name="cover_low_계산"/>
    <x:tableColumn id="13" name="cover_nominal_계산"/>
    <x:tableColumn id="14" name="cover_high_계산"/>
    <x:tableColumn id="15" name="same_zone"/>
    <x:tableColumn id="16" name="데이터구분"/>
    <x:tableColumn id="17" name="한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5" displayName="Table_5" ref="A1:AK7" headerRowCount="1" totalsRowCount="0" totalsRowShown="0">
  <x:tableColumns count="37">
    <x:tableColumn id="1" name="sensor_id"/>
    <x:tableColumn id="2" name="센서종류"/>
    <x:tableColumn id="3" name="제조사"/>
    <x:tableColumn id="4" name="모델"/>
    <x:tableColumn id="5" name="감지대상"/>
    <x:tableColumn id="6" name="감지원리"/>
    <x:tableColumn id="7" name="감지방식"/>
    <x:tableColumn id="8" name="측정범위_원문"/>
    <x:tableColumn id="9" name="단위"/>
    <x:tableColumn id="10" name="기본경보1"/>
    <x:tableColumn id="11" name="기본경보2"/>
    <x:tableColumn id="12" name="응답지표"/>
    <x:tableColumn id="13" name="응답시간_s"/>
    <x:tableColumn id="14" name="정확도_원문"/>
    <x:tableColumn id="15" name="작동온도최저_C"/>
    <x:tableColumn id="16" name="작동온도최고_C"/>
    <x:tableColumn id="17" name="습도최저_pct"/>
    <x:tableColumn id="18" name="습도최고_pct"/>
    <x:tableColumn id="19" name="IP등급"/>
    <x:tableColumn id="20" name="전원"/>
    <x:tableColumn id="21" name="출력통신"/>
    <x:tableColumn id="22" name="제조사간격_m"/>
    <x:tableColumn id="23" name="원격샘플거리_m"/>
    <x:tableColumn id="24" name="공식커버리지반경_m"/>
    <x:tableColumn id="25" name="QUBO반경_low_m"/>
    <x:tableColumn id="26" name="QUBO반경_nominal_m"/>
    <x:tableColumn id="27" name="QUBO반경_high_m"/>
    <x:tableColumn id="28" name="공개가격_USD"/>
    <x:tableColumn id="29" name="계획환율_원_USD"/>
    <x:tableColumn id="30" name="장비가_원_계산"/>
    <x:tableColumn id="31" name="설치비_원"/>
    <x:tableColumn id="32" name="사양URL"/>
    <x:tableColumn id="33" name="가격URL"/>
    <x:tableColumn id="34" name="근거유형"/>
    <x:tableColumn id="35" name="사실_가정구분"/>
    <x:tableColumn id="36" name="확인일"/>
    <x:tableColumn id="37" name="한계_주의사항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6" displayName="Table_6" ref="A1:AB11" headerRowCount="1" totalsRowCount="0" totalsRowShown="0">
  <x:tableColumns count="28">
    <x:tableColumn id="1" name="scenario_id"/>
    <x:tableColumn id="2" name="국가"/>
    <x:tableColumn id="3" name="산업"/>
    <x:tableColumn id="4" name="발생일"/>
    <x:tableColumn id="5" name="공사_운영단계"/>
    <x:tableColumn id="6" name="구역유형"/>
    <x:tableColumn id="7" name="사건유형"/>
    <x:tableColumn id="8" name="물질_연료"/>
    <x:tableColumn id="9" name="직접개시원"/>
    <x:tableColumn id="10" name="잠재점화원"/>
    <x:tableColumn id="11" name="밀폐도"/>
    <x:tableColumn id="12" name="환기상태"/>
    <x:tableColumn id="13" name="확산_전파특성"/>
    <x:tableColumn id="14" name="피해결과"/>
    <x:tableColumn id="15" name="사망자"/>
    <x:tableColumn id="16" name="부상자"/>
    <x:tableColumn id="17" name="근거유형"/>
    <x:tableColumn id="18" name="실제사고여부"/>
    <x:tableColumn id="19" name="ML사용권장"/>
    <x:tableColumn id="20" name="feature_hot_work"/>
    <x:tableColumn id="21" name="feature_flammable_gas"/>
    <x:tableColumn id="22" name="feature_toxic_gas"/>
    <x:tableColumn id="23" name="feature_combustible"/>
    <x:tableColumn id="24" name="feature_confinement"/>
    <x:tableColumn id="25" name="feature_maintenance"/>
    <x:tableColumn id="26" name="출처URL"/>
    <x:tableColumn id="27" name="확인일"/>
    <x:tableColumn id="28" name="한계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7" displayName="Table_7" ref="A1:M10" headerRowCount="1" totalsRowCount="0" totalsRowShown="0">
  <x:tableColumns count="13">
    <x:tableColumn id="1" name="criterion_id"/>
    <x:tableColumn id="2" name="문서구분"/>
    <x:tableColumn id="3" name="문서명_조항"/>
    <x:tableColumn id="4" name="시행일"/>
    <x:tableColumn id="5" name="법적성격"/>
    <x:tableColumn id="6" name="대상"/>
    <x:tableColumn id="7" name="핵심요건"/>
    <x:tableColumn id="8" name="핵심수치"/>
    <x:tableColumn id="9" name="QUBO변환"/>
    <x:tableColumn id="10" name="hard_soft"/>
    <x:tableColumn id="11" name="출처URL"/>
    <x:tableColumn id="12" name="확인일"/>
    <x:tableColumn id="13" name="한계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_8" displayName="Table_8" ref="A1:R3" headerRowCount="1" totalsRowCount="0" totalsRowShown="0">
  <x:tableColumns count="18">
    <x:tableColumn id="1" name="system"/>
    <x:tableColumn id="2" name="물리큐비트"/>
    <x:tableColumn id="3" name="연결성"/>
    <x:tableColumn id="4" name="1Q오류율_pct"/>
    <x:tableColumn id="5" name="1Q충실도_pct_계산"/>
    <x:tableColumn id="6" name="2Q오류율_pct"/>
    <x:tableColumn id="7" name="2Q충실도_pct_계산"/>
    <x:tableColumn id="8" name="SPAM오류율_pct"/>
    <x:tableColumn id="9" name="T1최저_s"/>
    <x:tableColumn id="10" name="T1최고_s"/>
    <x:tableColumn id="11" name="T2근사_s"/>
    <x:tableColumn id="12" name="1Q게이트시간_us"/>
    <x:tableColumn id="13" name="2Q게이트시간_us"/>
    <x:tableColumn id="14" name="공개값성격"/>
    <x:tableColumn id="15" name="노이즈모델권장"/>
    <x:tableColumn id="16" name="출처URL"/>
    <x:tableColumn id="17" name="확인일"/>
    <x:tableColumn id="18" name="한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_9" displayName="Table_9" ref="A1:J16" headerRowCount="1" totalsRowCount="0" totalsRowShown="0">
  <x:tableColumns count="10">
    <x:tableColumn id="1" name="source_id"/>
    <x:tableColumn id="2" name="기관"/>
    <x:tableColumn id="3" name="자료명"/>
    <x:tableColumn id="4" name="자료유형"/>
    <x:tableColumn id="5" name="URL"/>
    <x:tableColumn id="6" name="확인일"/>
    <x:tableColumn id="7" name="사용범위"/>
    <x:tableColumn id="8" name="라이선스_이용조건"/>
    <x:tableColumn id="9" name="품질등급"/>
    <x:tableColumn id="10" name="비고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_10" displayName="Table_10" ref="A1:G18" headerRowCount="1" totalsRowCount="0" totalsRowShown="0">
  <x:tableColumns count="7">
    <x:tableColumn id="1" name="sheet"/>
    <x:tableColumn id="2" name="column"/>
    <x:tableColumn id="3" name="정의"/>
    <x:tableColumn id="4" name="타입"/>
    <x:tableColumn id="5" name="단위"/>
    <x:tableColumn id="6" name="실제_파생"/>
    <x:tableColumn id="7" name="결측처리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_11" displayName="Table_11" ref="A1:F18" headerRowCount="1" totalsRowCount="0" totalsRowShown="0">
  <x:tableColumns count="6">
    <x:tableColumn id="1" name="check_id"/>
    <x:tableColumn id="2" name="검사항목"/>
    <x:tableColumn id="3" name="대상"/>
    <x:tableColumn id="4" name="결과"/>
    <x:tableColumn id="5" name="측정값"/>
    <x:tableColumn id="6" name="조치_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05f7a8065c47a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de59aff3df47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eec0394b1f4a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b6e6defe4a42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608a884baa349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51bb5e5d4dc45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c1913c1da634d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2c43de328174e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da3c7d98bd44cd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991e83c101747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35ca8ba611641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34" customHeight="1">
      <x:c r="A1" s="8" t="str">
        <x:v>항목</x:v>
      </x:c>
      <x:c r="B1" s="9" t="str">
        <x:v>내용</x:v>
      </x:c>
    </x:row>
    <x:row r="2">
      <x:c r="A2" s="10" t="str">
        <x:v>파일 목적</x:v>
      </x:c>
      <x:c r="B2" s="10" t="str">
        <x:v>QRC2026 반도체 건설현장 안전센서 QUBO/QAOA용 상세 연구 데이터 정본</x:v>
      </x:c>
    </x:row>
    <x:row r="3">
      <x:c r="A3" s="11" t="str">
        <x:v>작성 시각</x:v>
      </x:c>
      <x:c r="B3" s="11" t="str">
        <x:v>2026-07-26 02:00 KST</x:v>
      </x:c>
    </x:row>
    <x:row r="4">
      <x:c r="A4" s="11" t="str">
        <x:v>권장 사용</x:v>
      </x:c>
      <x:c r="B4" s="11" t="str">
        <x:v>이 XLSX를 정본으로 사용. CSV는 Excel 호환 UTF-8 BOM 보조본.</x:v>
      </x:c>
    </x:row>
    <x:row r="5">
      <x:c r="A5" s="11" t="str">
        <x:v>구조</x:v>
      </x:c>
      <x:c r="B5" s="11" t="str">
        <x:v>원자료·정제/파생·출처·데이터사전·품질검사를 분리함.</x:v>
      </x:c>
    </x:row>
    <x:row r="6">
      <x:c r="A6" s="11" t="str">
        <x:v>실제/합성 구분</x:v>
      </x:c>
      <x:c r="B6" s="11" t="str">
        <x:v>레이아웃 좌표·후보점·QUBO 반경·커버리지 행렬은 합성/가정. 제조사·법령·사고사례 값은 출처 기반.</x:v>
      </x:c>
    </x:row>
    <x:row r="7">
      <x:c r="A7" s="11" t="str">
        <x:v>주요 한계</x:v>
      </x:c>
      <x:c r="B7" s="11" t="str">
        <x:v>실제 BIM/CAD, 현장 풍장·공조, 국내 설치 견적, 큐비트쌍별 IonQ calibration은 미확보.</x:v>
      </x:c>
    </x:row>
    <x:row r="8">
      <x:c r="A8" s="11" t="str">
        <x:v>품질 규칙</x:v>
      </x:c>
      <x:c r="B8" s="11" t="str">
        <x:v>연속 물음표 3개·U+FFFD·모지바케 없음, 수식 오류 없음, 중복 ID 없음, URL/타입/단위 검사.</x:v>
      </x:c>
    </x:row>
    <x:row r="9">
      <x:c r="A9" s="12" t="str">
        <x:v>업데이트 원칙</x:v>
      </x:c>
      <x:c r="B9" s="12" t="str">
        <x:v>공식·공공·학술·제조사 원문을 우선하고 근거 없는 수치로 결측을 채우지 않음.</x:v>
      </x:c>
    </x:row>
  </x:sheetData>
  <x:pageMargins left="0.7" right="0.7" top="0.75" bottom="0.75" header="0.3" footer="0.3"/>
  <x:tableParts count="1">
    <x:tablePart xmlns:r="http://schemas.openxmlformats.org/officeDocument/2006/relationships" r:id="R5205f7a8065c47a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28" hidden="0" customWidth="1"/>
    <x:col min="9" max="9" width="40" hidden="0" customWidth="1"/>
    <x:col min="10" max="10" width="28" hidden="0" customWidth="1"/>
  </x:cols>
  <x:sheetData>
    <x:row r="1" ht="34" customHeight="1">
      <x:c r="A1" s="8" t="str">
        <x:v>zone_id</x:v>
      </x:c>
      <x:c r="B1" s="14" t="str">
        <x:v>zone_name</x:v>
      </x:c>
      <x:c r="C1" s="14" t="str">
        <x:v>zone_type</x:v>
      </x:c>
      <x:c r="D1" s="14" t="str">
        <x:v>x_m</x:v>
      </x:c>
      <x:c r="E1" s="14" t="str">
        <x:v>y_m</x:v>
      </x:c>
      <x:c r="F1" s="14" t="str">
        <x:v>width_m</x:v>
      </x:c>
      <x:c r="G1" s="14" t="str">
        <x:v>height_m</x:v>
      </x:c>
      <x:c r="H1" s="14" t="str">
        <x:v>adjacent_zone_ids</x:v>
      </x:c>
      <x:c r="I1" s="14" t="str">
        <x:v>primary_hazard</x:v>
      </x:c>
      <x:c r="J1" s="9" t="str">
        <x:v>data_status</x:v>
      </x:c>
    </x:row>
    <x:row r="2">
      <x:c r="A2" s="10" t="str">
        <x:v>Z01</x:v>
      </x:c>
      <x:c r="B2" s="10" t="str">
        <x:v>클린룸 시공 서측</x:v>
      </x:c>
      <x:c r="C2" s="10" t="str">
        <x:v>cleanroom_construction</x:v>
      </x:c>
      <x:c r="D2" s="10" t="str">
        <x:v>2</x:v>
      </x:c>
      <x:c r="E2" s="10" t="str">
        <x:v>12</x:v>
      </x:c>
      <x:c r="F2" s="10" t="str">
        <x:v>18</x:v>
      </x:c>
      <x:c r="G2" s="10" t="str">
        <x:v>12</x:v>
      </x:c>
      <x:c r="H2" s="10" t="str">
        <x:v>Z02;Z04;Z06;Z11</x:v>
      </x:c>
      <x:c r="I2" s="10" t="str">
        <x:v>임시 전기·가연성 자재·공정가스 인입</x:v>
      </x:c>
      <x:c r="J2" s="10" t="str">
        <x:v>research_derived_synthetic</x:v>
      </x:c>
    </x:row>
    <x:row r="3">
      <x:c r="A3" s="11" t="str">
        <x:v>Z02</x:v>
      </x:c>
      <x:c r="B3" s="11" t="str">
        <x:v>클린룸 시공 동측</x:v>
      </x:c>
      <x:c r="C3" s="11" t="str">
        <x:v>cleanroom_construction</x:v>
      </x:c>
      <x:c r="D3" s="11" t="str">
        <x:v>22</x:v>
      </x:c>
      <x:c r="E3" s="11" t="str">
        <x:v>12</x:v>
      </x:c>
      <x:c r="F3" s="11" t="str">
        <x:v>18</x:v>
      </x:c>
      <x:c r="G3" s="11" t="str">
        <x:v>12</x:v>
      </x:c>
      <x:c r="H3" s="11" t="str">
        <x:v>Z01;Z03;Z04;Z09;Z11</x:v>
      </x:c>
      <x:c r="I3" s="11" t="str">
        <x:v>임시 전기·가연성 자재·공정가스 인입</x:v>
      </x:c>
      <x:c r="J3" s="11" t="str">
        <x:v>research_derived_synthetic</x:v>
      </x:c>
    </x:row>
    <x:row r="4">
      <x:c r="A4" s="11" t="str">
        <x:v>Z03</x:v>
      </x:c>
      <x:c r="B4" s="11" t="str">
        <x:v>서브팹·유틸리티 시공구역</x:v>
      </x:c>
      <x:c r="C4" s="11" t="str">
        <x:v>subfab_utility</x:v>
      </x:c>
      <x:c r="D4" s="11" t="str">
        <x:v>42</x:v>
      </x:c>
      <x:c r="E4" s="11" t="str">
        <x:v>12</x:v>
      </x:c>
      <x:c r="F4" s="11" t="str">
        <x:v>16</x:v>
      </x:c>
      <x:c r="G4" s="11" t="str">
        <x:v>12</x:v>
      </x:c>
      <x:c r="H4" s="11" t="str">
        <x:v>Z02;Z08;Z09;Z10;Z11</x:v>
      </x:c>
      <x:c r="I4" s="11" t="str">
        <x:v>펌프·배관·덕트·배기계통</x:v>
      </x:c>
      <x:c r="J4" s="11" t="str">
        <x:v>research_derived_synthetic</x:v>
      </x:c>
    </x:row>
    <x:row r="5">
      <x:c r="A5" s="11" t="str">
        <x:v>Z04</x:v>
      </x:c>
      <x:c r="B5" s="11" t="str">
        <x:v>특수가스 캐비닛·VMB 구역</x:v>
      </x:c>
      <x:c r="C5" s="11" t="str">
        <x:v>special_gas_distribution</x:v>
      </x:c>
      <x:c r="D5" s="11" t="str">
        <x:v>14</x:v>
      </x:c>
      <x:c r="E5" s="11" t="str">
        <x:v>2</x:v>
      </x:c>
      <x:c r="F5" s="11" t="str">
        <x:v>10</x:v>
      </x:c>
      <x:c r="G5" s="11" t="str">
        <x:v>8</x:v>
      </x:c>
      <x:c r="H5" s="11" t="str">
        <x:v>Z01;Z02;Z05;Z09</x:v>
      </x:c>
      <x:c r="I5" s="11" t="str">
        <x:v>실란·수소 등 가스 연결부 누출</x:v>
      </x:c>
      <x:c r="J5" s="11" t="str">
        <x:v>research_derived_synthetic</x:v>
      </x:c>
    </x:row>
    <x:row r="6">
      <x:c r="A6" s="11" t="str">
        <x:v>Z05</x:v>
      </x:c>
      <x:c r="B6" s="11" t="str">
        <x:v>벌크가스·화학물 저장구역</x:v>
      </x:c>
      <x:c r="C6" s="11" t="str">
        <x:v>bulk_gas_chemical_storage</x:v>
      </x:c>
      <x:c r="D6" s="11" t="str">
        <x:v>2</x:v>
      </x:c>
      <x:c r="E6" s="11" t="str">
        <x:v>2</x:v>
      </x:c>
      <x:c r="F6" s="11" t="str">
        <x:v>10</x:v>
      </x:c>
      <x:c r="G6" s="11" t="str">
        <x:v>8</x:v>
      </x:c>
      <x:c r="H6" s="11" t="str">
        <x:v>Z04;Z12</x:v>
      </x:c>
      <x:c r="I6" s="11" t="str">
        <x:v>가스·용제 저장 및 하역 누출</x:v>
      </x:c>
      <x:c r="J6" s="11" t="str">
        <x:v>research_derived_synthetic</x:v>
      </x:c>
    </x:row>
    <x:row r="7">
      <x:c r="A7" s="11" t="str">
        <x:v>Z06</x:v>
      </x:c>
      <x:c r="B7" s="11" t="str">
        <x:v>용접·화기 작업구역</x:v>
      </x:c>
      <x:c r="C7" s="11" t="str">
        <x:v>hot_work</x:v>
      </x:c>
      <x:c r="D7" s="11" t="str">
        <x:v>2</x:v>
      </x:c>
      <x:c r="E7" s="11" t="str">
        <x:v>26</x:v>
      </x:c>
      <x:c r="F7" s="11" t="str">
        <x:v>12</x:v>
      </x:c>
      <x:c r="G7" s="11" t="str">
        <x:v>10</x:v>
      </x:c>
      <x:c r="H7" s="11" t="str">
        <x:v>Z01;Z07;Z11</x:v>
      </x:c>
      <x:c r="I7" s="11" t="str">
        <x:v>불티·용단·가연물 착화</x:v>
      </x:c>
      <x:c r="J7" s="11" t="str">
        <x:v>research_derived_synthetic</x:v>
      </x:c>
    </x:row>
    <x:row r="8">
      <x:c r="A8" s="11" t="str">
        <x:v>Z07</x:v>
      </x:c>
      <x:c r="B8" s="11" t="str">
        <x:v>자재 적치장</x:v>
      </x:c>
      <x:c r="C8" s="11" t="str">
        <x:v>material_staging</x:v>
      </x:c>
      <x:c r="D8" s="11" t="str">
        <x:v>16</x:v>
      </x:c>
      <x:c r="E8" s="11" t="str">
        <x:v>26</x:v>
      </x:c>
      <x:c r="F8" s="11" t="str">
        <x:v>12</x:v>
      </x:c>
      <x:c r="G8" s="11" t="str">
        <x:v>10</x:v>
      </x:c>
      <x:c r="H8" s="11" t="str">
        <x:v>Z06;Z11;Z12</x:v>
      </x:c>
      <x:c r="I8" s="11" t="str">
        <x:v>단열재·포장재·도료 적치</x:v>
      </x:c>
      <x:c r="J8" s="11" t="str">
        <x:v>research_derived_synthetic</x:v>
      </x:c>
    </x:row>
    <x:row r="9">
      <x:c r="A9" s="11" t="str">
        <x:v>Z08</x:v>
      </x:c>
      <x:c r="B9" s="11" t="str">
        <x:v>임시 전기실·배전반</x:v>
      </x:c>
      <x:c r="C9" s="11" t="str">
        <x:v>electrical_room</x:v>
      </x:c>
      <x:c r="D9" s="11" t="str">
        <x:v>40</x:v>
      </x:c>
      <x:c r="E9" s="11" t="str">
        <x:v>2</x:v>
      </x:c>
      <x:c r="F9" s="11" t="str">
        <x:v>8</x:v>
      </x:c>
      <x:c r="G9" s="11" t="str">
        <x:v>8</x:v>
      </x:c>
      <x:c r="H9" s="11" t="str">
        <x:v>Z03;Z09</x:v>
      </x:c>
      <x:c r="I9" s="11" t="str">
        <x:v>전기적 점화원·케이블 화재</x:v>
      </x:c>
      <x:c r="J9" s="11" t="str">
        <x:v>research_derived_synthetic</x:v>
      </x:c>
    </x:row>
    <x:row r="10">
      <x:c r="A10" s="11" t="str">
        <x:v>Z09</x:v>
      </x:c>
      <x:c r="B10" s="11" t="str">
        <x:v>팬데크·공조 시공구역</x:v>
      </x:c>
      <x:c r="C10" s="11" t="str">
        <x:v>fan_deck_hvac</x:v>
      </x:c>
      <x:c r="D10" s="11" t="str">
        <x:v>26</x:v>
      </x:c>
      <x:c r="E10" s="11" t="str">
        <x:v>2</x:v>
      </x:c>
      <x:c r="F10" s="11" t="str">
        <x:v>12</x:v>
      </x:c>
      <x:c r="G10" s="11" t="str">
        <x:v>8</x:v>
      </x:c>
      <x:c r="H10" s="11" t="str">
        <x:v>Z02;Z03;Z04;Z08</x:v>
      </x:c>
      <x:c r="I10" s="11" t="str">
        <x:v>공기 흐름에 따른 연기·가스 이동</x:v>
      </x:c>
      <x:c r="J10" s="11" t="str">
        <x:v>research_derived_synthetic</x:v>
      </x:c>
    </x:row>
    <x:row r="11">
      <x:c r="A11" s="11" t="str">
        <x:v>Z10</x:v>
      </x:c>
      <x:c r="B11" s="11" t="str">
        <x:v>폐수·폐액 처리구역</x:v>
      </x:c>
      <x:c r="C11" s="11" t="str">
        <x:v>waste_treatment</x:v>
      </x:c>
      <x:c r="D11" s="11" t="str">
        <x:v>48</x:v>
      </x:c>
      <x:c r="E11" s="11" t="str">
        <x:v>26</x:v>
      </x:c>
      <x:c r="F11" s="11" t="str">
        <x:v>10</x:v>
      </x:c>
      <x:c r="G11" s="11" t="str">
        <x:v>10</x:v>
      </x:c>
      <x:c r="H11" s="11" t="str">
        <x:v>Z03;Z11</x:v>
      </x:c>
      <x:c r="I11" s="11" t="str">
        <x:v>폐액 혼합·부식성/독성 물질</x:v>
      </x:c>
      <x:c r="J11" s="11" t="str">
        <x:v>research_derived_synthetic</x:v>
      </x:c>
    </x:row>
    <x:row r="12">
      <x:c r="A12" s="11" t="str">
        <x:v>Z11</x:v>
      </x:c>
      <x:c r="B12" s="11" t="str">
        <x:v>주 통로·피난 동선</x:v>
      </x:c>
      <x:c r="C12" s="11" t="str">
        <x:v>main_corridor</x:v>
      </x:c>
      <x:c r="D12" s="11" t="str">
        <x:v>30</x:v>
      </x:c>
      <x:c r="E12" s="11" t="str">
        <x:v>26</x:v>
      </x:c>
      <x:c r="F12" s="11" t="str">
        <x:v>16</x:v>
      </x:c>
      <x:c r="G12" s="11" t="str">
        <x:v>10</x:v>
      </x:c>
      <x:c r="H12" s="11" t="str">
        <x:v>Z01;Z02;Z03;Z06;Z07;Z10;Z12</x:v>
      </x:c>
      <x:c r="I12" s="11" t="str">
        <x:v>작업자 통행·연기 확산·피난</x:v>
      </x:c>
      <x:c r="J12" s="11" t="str">
        <x:v>research_derived_synthetic</x:v>
      </x:c>
    </x:row>
    <x:row r="13">
      <x:c r="A13" s="12" t="str">
        <x:v>Z12</x:v>
      </x:c>
      <x:c r="B13" s="12" t="str">
        <x:v>하역장·주 출입구</x:v>
      </x:c>
      <x:c r="C13" s="12" t="str">
        <x:v>loading_entrance</x:v>
      </x:c>
      <x:c r="D13" s="12" t="str">
        <x:v>50</x:v>
      </x:c>
      <x:c r="E13" s="12" t="str">
        <x:v>2</x:v>
      </x:c>
      <x:c r="F13" s="12" t="str">
        <x:v>8</x:v>
      </x:c>
      <x:c r="G13" s="12" t="str">
        <x:v>8</x:v>
      </x:c>
      <x:c r="H13" s="12" t="str">
        <x:v>Z05;Z07;Z11</x:v>
      </x:c>
      <x:c r="I13" s="12" t="str">
        <x:v>차량·실린더/자재 반입·피난구</x:v>
      </x:c>
      <x:c r="J13" s="12" t="str">
        <x:v>research_derived_synthetic</x:v>
      </x:c>
    </x:row>
  </x:sheetData>
  <x:pageMargins left="0.7" right="0.7" top="0.75" bottom="0.75" header="0.3" footer="0.3"/>
  <x:tableParts count="1">
    <x:tablePart xmlns:r="http://schemas.openxmlformats.org/officeDocument/2006/relationships" r:id="R4bde59aff3df47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28" hidden="0" customWidth="1"/>
    <x:col min="6" max="6" width="42" hidden="0" customWidth="1"/>
    <x:col min="7" max="7" width="24" hidden="0" customWidth="1"/>
  </x:cols>
  <x:sheetData>
    <x:row r="1" ht="34" customHeight="1">
      <x:c r="A1" s="8" t="str">
        <x:v>candidate_id</x:v>
      </x:c>
      <x:c r="B1" s="14" t="str">
        <x:v>zone_id</x:v>
      </x:c>
      <x:c r="C1" s="14" t="str">
        <x:v>x_m</x:v>
      </x:c>
      <x:c r="D1" s="14" t="str">
        <x:v>y_m</x:v>
      </x:c>
      <x:c r="E1" s="14" t="str">
        <x:v>preferred_sensor_family</x:v>
      </x:c>
      <x:c r="F1" s="14" t="str">
        <x:v>placement_reason</x:v>
      </x:c>
      <x:c r="G1" s="9" t="str">
        <x:v>data_status</x:v>
      </x:c>
    </x:row>
    <x:row r="2">
      <x:c r="A2" s="10" t="str">
        <x:v>C01</x:v>
      </x:c>
      <x:c r="B2" s="10" t="str">
        <x:v>Z01</x:v>
      </x:c>
      <x:c r="C2" s="10" t="str">
        <x:v>11</x:v>
      </x:c>
      <x:c r="D2" s="10" t="str">
        <x:v>18</x:v>
      </x:c>
      <x:c r="E2" s="10" t="str">
        <x:v>smoke_or_multi</x:v>
      </x:c>
      <x:c r="F2" s="10" t="str">
        <x:v>클린룸 시공 서측 중앙 감시</x:v>
      </x:c>
      <x:c r="G2" s="10" t="str">
        <x:v>synthetic_candidate</x:v>
      </x:c>
    </x:row>
    <x:row r="3">
      <x:c r="A3" s="11" t="str">
        <x:v>C02</x:v>
      </x:c>
      <x:c r="B3" s="11" t="str">
        <x:v>Z02</x:v>
      </x:c>
      <x:c r="C3" s="11" t="str">
        <x:v>31</x:v>
      </x:c>
      <x:c r="D3" s="11" t="str">
        <x:v>18</x:v>
      </x:c>
      <x:c r="E3" s="11" t="str">
        <x:v>smoke_or_multi</x:v>
      </x:c>
      <x:c r="F3" s="11" t="str">
        <x:v>클린룸 시공 동측 중앙 감시</x:v>
      </x:c>
      <x:c r="G3" s="11" t="str">
        <x:v>synthetic_candidate</x:v>
      </x:c>
    </x:row>
    <x:row r="4">
      <x:c r="A4" s="11" t="str">
        <x:v>C03</x:v>
      </x:c>
      <x:c r="B4" s="11" t="str">
        <x:v>Z03</x:v>
      </x:c>
      <x:c r="C4" s="11" t="str">
        <x:v>50</x:v>
      </x:c>
      <x:c r="D4" s="11" t="str">
        <x:v>18</x:v>
      </x:c>
      <x:c r="E4" s="11" t="str">
        <x:v>gas_and_smoke</x:v>
      </x:c>
      <x:c r="F4" s="11" t="str">
        <x:v>펌프·배관·배기계통 인접</x:v>
      </x:c>
      <x:c r="G4" s="11" t="str">
        <x:v>synthetic_candidate</x:v>
      </x:c>
    </x:row>
    <x:row r="5">
      <x:c r="A5" s="11" t="str">
        <x:v>C04</x:v>
      </x:c>
      <x:c r="B5" s="11" t="str">
        <x:v>Z04</x:v>
      </x:c>
      <x:c r="C5" s="11" t="str">
        <x:v>19</x:v>
      </x:c>
      <x:c r="D5" s="11" t="str">
        <x:v>6</x:v>
      </x:c>
      <x:c r="E5" s="11" t="str">
        <x:v>silane_hydrogen_point</x:v>
      </x:c>
      <x:c r="F5" s="11" t="str">
        <x:v>가스 캐비닛·밸브·연결부 인접</x:v>
      </x:c>
      <x:c r="G5" s="11" t="str">
        <x:v>synthetic_candidate</x:v>
      </x:c>
    </x:row>
    <x:row r="6">
      <x:c r="A6" s="11" t="str">
        <x:v>C05</x:v>
      </x:c>
      <x:c r="B6" s="11" t="str">
        <x:v>Z05</x:v>
      </x:c>
      <x:c r="C6" s="11" t="str">
        <x:v>7</x:v>
      </x:c>
      <x:c r="D6" s="11" t="str">
        <x:v>6</x:v>
      </x:c>
      <x:c r="E6" s="11" t="str">
        <x:v>gas_and_flame</x:v>
      </x:c>
      <x:c r="F6" s="11" t="str">
        <x:v>벌크 저장·하역 누출 감시</x:v>
      </x:c>
      <x:c r="G6" s="11" t="str">
        <x:v>synthetic_candidate</x:v>
      </x:c>
    </x:row>
    <x:row r="7">
      <x:c r="A7" s="11" t="str">
        <x:v>C06</x:v>
      </x:c>
      <x:c r="B7" s="11" t="str">
        <x:v>Z06</x:v>
      </x:c>
      <x:c r="C7" s="11" t="str">
        <x:v>8</x:v>
      </x:c>
      <x:c r="D7" s="11" t="str">
        <x:v>31</x:v>
      </x:c>
      <x:c r="E7" s="11" t="str">
        <x:v>smoke_heat_flame</x:v>
      </x:c>
      <x:c r="F7" s="11" t="str">
        <x:v>용접·화기 작업 불티 감시</x:v>
      </x:c>
      <x:c r="G7" s="11" t="str">
        <x:v>synthetic_candidate</x:v>
      </x:c>
    </x:row>
    <x:row r="8">
      <x:c r="A8" s="11" t="str">
        <x:v>C07</x:v>
      </x:c>
      <x:c r="B8" s="11" t="str">
        <x:v>Z07</x:v>
      </x:c>
      <x:c r="C8" s="11" t="str">
        <x:v>22</x:v>
      </x:c>
      <x:c r="D8" s="11" t="str">
        <x:v>31</x:v>
      </x:c>
      <x:c r="E8" s="11" t="str">
        <x:v>smoke_heat</x:v>
      </x:c>
      <x:c r="F8" s="11" t="str">
        <x:v>단열재·포장재 적치 감시</x:v>
      </x:c>
      <x:c r="G8" s="11" t="str">
        <x:v>synthetic_candidate</x:v>
      </x:c>
    </x:row>
    <x:row r="9">
      <x:c r="A9" s="11" t="str">
        <x:v>C08</x:v>
      </x:c>
      <x:c r="B9" s="11" t="str">
        <x:v>Z08</x:v>
      </x:c>
      <x:c r="C9" s="11" t="str">
        <x:v>44</x:v>
      </x:c>
      <x:c r="D9" s="11" t="str">
        <x:v>6</x:v>
      </x:c>
      <x:c r="E9" s="11" t="str">
        <x:v>smoke_heat</x:v>
      </x:c>
      <x:c r="F9" s="11" t="str">
        <x:v>배전반·임시 전기 점화원 감시</x:v>
      </x:c>
      <x:c r="G9" s="11" t="str">
        <x:v>synthetic_candidate</x:v>
      </x:c>
    </x:row>
    <x:row r="10">
      <x:c r="A10" s="11" t="str">
        <x:v>C09</x:v>
      </x:c>
      <x:c r="B10" s="11" t="str">
        <x:v>Z09</x:v>
      </x:c>
      <x:c r="C10" s="11" t="str">
        <x:v>32</x:v>
      </x:c>
      <x:c r="D10" s="11" t="str">
        <x:v>6</x:v>
      </x:c>
      <x:c r="E10" s="11" t="str">
        <x:v>smoke_sampling</x:v>
      </x:c>
      <x:c r="F10" s="11" t="str">
        <x:v>공조 흐름과 배기구 영향 감시</x:v>
      </x:c>
      <x:c r="G10" s="11" t="str">
        <x:v>synthetic_candidate</x:v>
      </x:c>
    </x:row>
    <x:row r="11">
      <x:c r="A11" s="11" t="str">
        <x:v>C10</x:v>
      </x:c>
      <x:c r="B11" s="11" t="str">
        <x:v>Z10</x:v>
      </x:c>
      <x:c r="C11" s="11" t="str">
        <x:v>53</x:v>
      </x:c>
      <x:c r="D11" s="11" t="str">
        <x:v>31</x:v>
      </x:c>
      <x:c r="E11" s="11" t="str">
        <x:v>toxic_gas</x:v>
      </x:c>
      <x:c r="F11" s="11" t="str">
        <x:v>폐액·폐수 혼합 및 누출 감시</x:v>
      </x:c>
      <x:c r="G11" s="11" t="str">
        <x:v>synthetic_candidate</x:v>
      </x:c>
    </x:row>
    <x:row r="12">
      <x:c r="A12" s="11" t="str">
        <x:v>C11</x:v>
      </x:c>
      <x:c r="B12" s="11" t="str">
        <x:v>Z11</x:v>
      </x:c>
      <x:c r="C12" s="11" t="str">
        <x:v>38</x:v>
      </x:c>
      <x:c r="D12" s="11" t="str">
        <x:v>31</x:v>
      </x:c>
      <x:c r="E12" s="11" t="str">
        <x:v>smoke_co</x:v>
      </x:c>
      <x:c r="F12" s="11" t="str">
        <x:v>주 통로·피난 동선 감시</x:v>
      </x:c>
      <x:c r="G12" s="11" t="str">
        <x:v>synthetic_candidate</x:v>
      </x:c>
    </x:row>
    <x:row r="13">
      <x:c r="A13" s="12" t="str">
        <x:v>C12</x:v>
      </x:c>
      <x:c r="B13" s="12" t="str">
        <x:v>Z12</x:v>
      </x:c>
      <x:c r="C13" s="12" t="str">
        <x:v>54</x:v>
      </x:c>
      <x:c r="D13" s="12" t="str">
        <x:v>6</x:v>
      </x:c>
      <x:c r="E13" s="12" t="str">
        <x:v>gas_smoke</x:v>
      </x:c>
      <x:c r="F13" s="12" t="str">
        <x:v>하역·실린더 반입 및 출입구 감시</x:v>
      </x:c>
      <x:c r="G13" s="12" t="str">
        <x:v>synthetic_candidate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3eeec0394b1f4a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9" hidden="0" customWidth="1"/>
    <x:col min="4" max="4" width="15" hidden="0" customWidth="1"/>
    <x:col min="5" max="5" width="15" hidden="0" customWidth="1"/>
    <x:col min="6" max="6" width="17" hidden="0" customWidth="1"/>
    <x:col min="7" max="7" width="17" hidden="0" customWidth="1"/>
    <x:col min="8" max="8" width="15" hidden="0" customWidth="1"/>
    <x:col min="9" max="9" width="14" hidden="0" customWidth="1"/>
    <x:col min="10" max="10" width="18" hidden="0" customWidth="1"/>
    <x:col min="11" max="11" width="15" hidden="0" customWidth="1"/>
    <x:col min="12" max="12" width="14" hidden="0" customWidth="1"/>
    <x:col min="13" max="13" width="18" hidden="0" customWidth="1"/>
    <x:col min="14" max="14" width="15" hidden="0" customWidth="1"/>
    <x:col min="15" max="15" width="10" hidden="0" customWidth="1"/>
    <x:col min="16" max="16" width="16" hidden="0" customWidth="1"/>
    <x:col min="17" max="17" width="48" hidden="0" customWidth="1"/>
  </x:cols>
  <x:sheetData>
    <x:row r="1" ht="34" customHeight="1">
      <x:c r="A1" s="8" t="str">
        <x:v>candidate_id</x:v>
      </x:c>
      <x:c r="B1" s="14" t="str">
        <x:v>zone_id</x:v>
      </x:c>
      <x:c r="C1" s="14" t="str">
        <x:v>candidate_zone_id</x:v>
      </x:c>
      <x:c r="D1" s="14" t="str">
        <x:v>candidate_x_m</x:v>
      </x:c>
      <x:c r="E1" s="14" t="str">
        <x:v>candidate_y_m</x:v>
      </x:c>
      <x:c r="F1" s="14" t="str">
        <x:v>zone_center_x_m</x:v>
      </x:c>
      <x:c r="G1" s="14" t="str">
        <x:v>zone_center_y_m</x:v>
      </x:c>
      <x:c r="H1" s="14" t="str">
        <x:v>distance_m_계산</x:v>
      </x:c>
      <x:c r="I1" s="14" t="str">
        <x:v>radius_low_m</x:v>
      </x:c>
      <x:c r="J1" s="14" t="str">
        <x:v>radius_nominal_m</x:v>
      </x:c>
      <x:c r="K1" s="14" t="str">
        <x:v>radius_high_m</x:v>
      </x:c>
      <x:c r="L1" s="14" t="str">
        <x:v>cover_low_계산</x:v>
      </x:c>
      <x:c r="M1" s="14" t="str">
        <x:v>cover_nominal_계산</x:v>
      </x:c>
      <x:c r="N1" s="14" t="str">
        <x:v>cover_high_계산</x:v>
      </x:c>
      <x:c r="O1" s="14" t="str">
        <x:v>same_zone</x:v>
      </x:c>
      <x:c r="P1" s="14" t="str">
        <x:v>데이터구분</x:v>
      </x:c>
      <x:c r="Q1" s="9" t="str">
        <x:v>한계</x:v>
      </x:c>
    </x:row>
    <x:row r="2">
      <x:c r="A2" s="10" t="str">
        <x:v>C01</x:v>
      </x:c>
      <x:c r="B2" s="10" t="str">
        <x:v>Z01</x:v>
      </x:c>
      <x:c r="C2" s="10" t="str">
        <x:v>Z01</x:v>
      </x:c>
      <x:c r="D2" s="10" t="n">
        <x:v>11</x:v>
      </x:c>
      <x:c r="E2" s="10" t="n">
        <x:v>18</x:v>
      </x:c>
      <x:c r="F2" s="10" t="n">
        <x:v>11</x:v>
      </x:c>
      <x:c r="G2" s="10" t="n">
        <x:v>18</x:v>
      </x:c>
      <x:c r="H2" s="19" t="n">
        <x:f>SQRT((D2-F2)^2+(E2-G2)^2)</x:f>
        <x:v>0</x:v>
      </x:c>
      <x:c r="I2" s="10" t="n">
        <x:v>3</x:v>
      </x:c>
      <x:c r="J2" s="10" t="n">
        <x:v>5</x:v>
      </x:c>
      <x:c r="K2" s="10" t="n">
        <x:v>8</x:v>
      </x:c>
      <x:c r="L2" s="10" t="n">
        <x:f>IF(H2&lt;=I2,1,0)</x:f>
        <x:v>1</x:v>
      </x:c>
      <x:c r="M2" s="10" t="n">
        <x:f>IF(H2&lt;=J2,1,0)</x:f>
        <x:v>1</x:v>
      </x:c>
      <x:c r="N2" s="10" t="n">
        <x:f>IF(H2&lt;=K2,1,0)</x:f>
        <x:v>1</x:v>
      </x:c>
      <x:c r="O2" s="10" t="n">
        <x:v>1</x:v>
      </x:c>
      <x:c r="P2" s="10" t="str">
        <x:v>합성 파생</x:v>
      </x:c>
      <x:c r="Q2" s="10" t="str">
        <x:v>평면 직선거리만 반영; 벽·높이·공조·가스 물성 미반영</x:v>
      </x:c>
    </x:row>
    <x:row r="3">
      <x:c r="A3" s="11" t="str">
        <x:v>C01</x:v>
      </x:c>
      <x:c r="B3" s="11" t="str">
        <x:v>Z02</x:v>
      </x:c>
      <x:c r="C3" s="11" t="str">
        <x:v>Z01</x:v>
      </x:c>
      <x:c r="D3" s="11" t="n">
        <x:v>11</x:v>
      </x:c>
      <x:c r="E3" s="11" t="n">
        <x:v>18</x:v>
      </x:c>
      <x:c r="F3" s="11" t="n">
        <x:v>31</x:v>
      </x:c>
      <x:c r="G3" s="11" t="n">
        <x:v>18</x:v>
      </x:c>
      <x:c r="H3" s="20" t="n">
        <x:f>SQRT((D3-F3)^2+(E3-G3)^2)</x:f>
        <x:v>20</x:v>
      </x:c>
      <x:c r="I3" s="11" t="n">
        <x:v>3</x:v>
      </x:c>
      <x:c r="J3" s="11" t="n">
        <x:v>5</x:v>
      </x:c>
      <x:c r="K3" s="11" t="n">
        <x:v>8</x:v>
      </x:c>
      <x:c r="L3" s="11" t="n">
        <x:f>IF(H3&lt;=I3,1,0)</x:f>
        <x:v>0</x:v>
      </x:c>
      <x:c r="M3" s="11" t="n">
        <x:f>IF(H3&lt;=J3,1,0)</x:f>
        <x:v>0</x:v>
      </x:c>
      <x:c r="N3" s="11" t="n">
        <x:f>IF(H3&lt;=K3,1,0)</x:f>
        <x:v>0</x:v>
      </x:c>
      <x:c r="O3" s="11" t="n">
        <x:v>0</x:v>
      </x:c>
      <x:c r="P3" s="11" t="str">
        <x:v>합성 파생</x:v>
      </x:c>
      <x:c r="Q3" s="11" t="str">
        <x:v>평면 직선거리만 반영; 벽·높이·공조·가스 물성 미반영</x:v>
      </x:c>
    </x:row>
    <x:row r="4">
      <x:c r="A4" s="11" t="str">
        <x:v>C01</x:v>
      </x:c>
      <x:c r="B4" s="11" t="str">
        <x:v>Z03</x:v>
      </x:c>
      <x:c r="C4" s="11" t="str">
        <x:v>Z01</x:v>
      </x:c>
      <x:c r="D4" s="11" t="n">
        <x:v>11</x:v>
      </x:c>
      <x:c r="E4" s="11" t="n">
        <x:v>18</x:v>
      </x:c>
      <x:c r="F4" s="11" t="n">
        <x:v>50</x:v>
      </x:c>
      <x:c r="G4" s="11" t="n">
        <x:v>18</x:v>
      </x:c>
      <x:c r="H4" s="20" t="n">
        <x:f>SQRT((D4-F4)^2+(E4-G4)^2)</x:f>
        <x:v>39</x:v>
      </x:c>
      <x:c r="I4" s="11" t="n">
        <x:v>3</x:v>
      </x:c>
      <x:c r="J4" s="11" t="n">
        <x:v>5</x:v>
      </x:c>
      <x:c r="K4" s="11" t="n">
        <x:v>8</x:v>
      </x:c>
      <x:c r="L4" s="11" t="n">
        <x:f>IF(H4&lt;=I4,1,0)</x:f>
        <x:v>0</x:v>
      </x:c>
      <x:c r="M4" s="11" t="n">
        <x:f>IF(H4&lt;=J4,1,0)</x:f>
        <x:v>0</x:v>
      </x:c>
      <x:c r="N4" s="11" t="n">
        <x:f>IF(H4&lt;=K4,1,0)</x:f>
        <x:v>0</x:v>
      </x:c>
      <x:c r="O4" s="11" t="n">
        <x:v>0</x:v>
      </x:c>
      <x:c r="P4" s="11" t="str">
        <x:v>합성 파생</x:v>
      </x:c>
      <x:c r="Q4" s="11" t="str">
        <x:v>평면 직선거리만 반영; 벽·높이·공조·가스 물성 미반영</x:v>
      </x:c>
    </x:row>
    <x:row r="5">
      <x:c r="A5" s="11" t="str">
        <x:v>C01</x:v>
      </x:c>
      <x:c r="B5" s="11" t="str">
        <x:v>Z04</x:v>
      </x:c>
      <x:c r="C5" s="11" t="str">
        <x:v>Z01</x:v>
      </x:c>
      <x:c r="D5" s="11" t="n">
        <x:v>11</x:v>
      </x:c>
      <x:c r="E5" s="11" t="n">
        <x:v>18</x:v>
      </x:c>
      <x:c r="F5" s="11" t="n">
        <x:v>19</x:v>
      </x:c>
      <x:c r="G5" s="11" t="n">
        <x:v>6</x:v>
      </x:c>
      <x:c r="H5" s="20" t="n">
        <x:f>SQRT((D5-F5)^2+(E5-G5)^2)</x:f>
        <x:v>14.422205101855956</x:v>
      </x:c>
      <x:c r="I5" s="11" t="n">
        <x:v>3</x:v>
      </x:c>
      <x:c r="J5" s="11" t="n">
        <x:v>5</x:v>
      </x:c>
      <x:c r="K5" s="11" t="n">
        <x:v>8</x:v>
      </x:c>
      <x:c r="L5" s="11" t="n">
        <x:f>IF(H5&lt;=I5,1,0)</x:f>
        <x:v>0</x:v>
      </x:c>
      <x:c r="M5" s="11" t="n">
        <x:f>IF(H5&lt;=J5,1,0)</x:f>
        <x:v>0</x:v>
      </x:c>
      <x:c r="N5" s="11" t="n">
        <x:f>IF(H5&lt;=K5,1,0)</x:f>
        <x:v>0</x:v>
      </x:c>
      <x:c r="O5" s="11" t="n">
        <x:v>0</x:v>
      </x:c>
      <x:c r="P5" s="11" t="str">
        <x:v>합성 파생</x:v>
      </x:c>
      <x:c r="Q5" s="11" t="str">
        <x:v>평면 직선거리만 반영; 벽·높이·공조·가스 물성 미반영</x:v>
      </x:c>
    </x:row>
    <x:row r="6">
      <x:c r="A6" s="11" t="str">
        <x:v>C01</x:v>
      </x:c>
      <x:c r="B6" s="11" t="str">
        <x:v>Z05</x:v>
      </x:c>
      <x:c r="C6" s="11" t="str">
        <x:v>Z01</x:v>
      </x:c>
      <x:c r="D6" s="11" t="n">
        <x:v>11</x:v>
      </x:c>
      <x:c r="E6" s="11" t="n">
        <x:v>18</x:v>
      </x:c>
      <x:c r="F6" s="11" t="n">
        <x:v>7</x:v>
      </x:c>
      <x:c r="G6" s="11" t="n">
        <x:v>6</x:v>
      </x:c>
      <x:c r="H6" s="20" t="n">
        <x:f>SQRT((D6-F6)^2+(E6-G6)^2)</x:f>
        <x:v>12.649110640673518</x:v>
      </x:c>
      <x:c r="I6" s="11" t="n">
        <x:v>3</x:v>
      </x:c>
      <x:c r="J6" s="11" t="n">
        <x:v>5</x:v>
      </x:c>
      <x:c r="K6" s="11" t="n">
        <x:v>8</x:v>
      </x:c>
      <x:c r="L6" s="11" t="n">
        <x:f>IF(H6&lt;=I6,1,0)</x:f>
        <x:v>0</x:v>
      </x:c>
      <x:c r="M6" s="11" t="n">
        <x:f>IF(H6&lt;=J6,1,0)</x:f>
        <x:v>0</x:v>
      </x:c>
      <x:c r="N6" s="11" t="n">
        <x:f>IF(H6&lt;=K6,1,0)</x:f>
        <x:v>0</x:v>
      </x:c>
      <x:c r="O6" s="11" t="n">
        <x:v>0</x:v>
      </x:c>
      <x:c r="P6" s="11" t="str">
        <x:v>합성 파생</x:v>
      </x:c>
      <x:c r="Q6" s="11" t="str">
        <x:v>평면 직선거리만 반영; 벽·높이·공조·가스 물성 미반영</x:v>
      </x:c>
    </x:row>
    <x:row r="7">
      <x:c r="A7" s="11" t="str">
        <x:v>C01</x:v>
      </x:c>
      <x:c r="B7" s="11" t="str">
        <x:v>Z06</x:v>
      </x:c>
      <x:c r="C7" s="11" t="str">
        <x:v>Z01</x:v>
      </x:c>
      <x:c r="D7" s="11" t="n">
        <x:v>11</x:v>
      </x:c>
      <x:c r="E7" s="11" t="n">
        <x:v>18</x:v>
      </x:c>
      <x:c r="F7" s="11" t="n">
        <x:v>8</x:v>
      </x:c>
      <x:c r="G7" s="11" t="n">
        <x:v>31</x:v>
      </x:c>
      <x:c r="H7" s="20" t="n">
        <x:f>SQRT((D7-F7)^2+(E7-G7)^2)</x:f>
        <x:v>13.341664064126334</x:v>
      </x:c>
      <x:c r="I7" s="11" t="n">
        <x:v>3</x:v>
      </x:c>
      <x:c r="J7" s="11" t="n">
        <x:v>5</x:v>
      </x:c>
      <x:c r="K7" s="11" t="n">
        <x:v>8</x:v>
      </x:c>
      <x:c r="L7" s="11" t="n">
        <x:f>IF(H7&lt;=I7,1,0)</x:f>
        <x:v>0</x:v>
      </x:c>
      <x:c r="M7" s="11" t="n">
        <x:f>IF(H7&lt;=J7,1,0)</x:f>
        <x:v>0</x:v>
      </x:c>
      <x:c r="N7" s="11" t="n">
        <x:f>IF(H7&lt;=K7,1,0)</x:f>
        <x:v>0</x:v>
      </x:c>
      <x:c r="O7" s="11" t="n">
        <x:v>0</x:v>
      </x:c>
      <x:c r="P7" s="11" t="str">
        <x:v>합성 파생</x:v>
      </x:c>
      <x:c r="Q7" s="11" t="str">
        <x:v>평면 직선거리만 반영; 벽·높이·공조·가스 물성 미반영</x:v>
      </x:c>
    </x:row>
    <x:row r="8">
      <x:c r="A8" s="11" t="str">
        <x:v>C01</x:v>
      </x:c>
      <x:c r="B8" s="11" t="str">
        <x:v>Z07</x:v>
      </x:c>
      <x:c r="C8" s="11" t="str">
        <x:v>Z01</x:v>
      </x:c>
      <x:c r="D8" s="11" t="n">
        <x:v>11</x:v>
      </x:c>
      <x:c r="E8" s="11" t="n">
        <x:v>18</x:v>
      </x:c>
      <x:c r="F8" s="11" t="n">
        <x:v>22</x:v>
      </x:c>
      <x:c r="G8" s="11" t="n">
        <x:v>31</x:v>
      </x:c>
      <x:c r="H8" s="20" t="n">
        <x:f>SQRT((D8-F8)^2+(E8-G8)^2)</x:f>
        <x:v>17.029386365926403</x:v>
      </x:c>
      <x:c r="I8" s="11" t="n">
        <x:v>3</x:v>
      </x:c>
      <x:c r="J8" s="11" t="n">
        <x:v>5</x:v>
      </x:c>
      <x:c r="K8" s="11" t="n">
        <x:v>8</x:v>
      </x:c>
      <x:c r="L8" s="11" t="n">
        <x:f>IF(H8&lt;=I8,1,0)</x:f>
        <x:v>0</x:v>
      </x:c>
      <x:c r="M8" s="11" t="n">
        <x:f>IF(H8&lt;=J8,1,0)</x:f>
        <x:v>0</x:v>
      </x:c>
      <x:c r="N8" s="11" t="n">
        <x:f>IF(H8&lt;=K8,1,0)</x:f>
        <x:v>0</x:v>
      </x:c>
      <x:c r="O8" s="11" t="n">
        <x:v>0</x:v>
      </x:c>
      <x:c r="P8" s="11" t="str">
        <x:v>합성 파생</x:v>
      </x:c>
      <x:c r="Q8" s="11" t="str">
        <x:v>평면 직선거리만 반영; 벽·높이·공조·가스 물성 미반영</x:v>
      </x:c>
    </x:row>
    <x:row r="9">
      <x:c r="A9" s="11" t="str">
        <x:v>C01</x:v>
      </x:c>
      <x:c r="B9" s="11" t="str">
        <x:v>Z08</x:v>
      </x:c>
      <x:c r="C9" s="11" t="str">
        <x:v>Z01</x:v>
      </x:c>
      <x:c r="D9" s="11" t="n">
        <x:v>11</x:v>
      </x:c>
      <x:c r="E9" s="11" t="n">
        <x:v>18</x:v>
      </x:c>
      <x:c r="F9" s="11" t="n">
        <x:v>44</x:v>
      </x:c>
      <x:c r="G9" s="11" t="n">
        <x:v>6</x:v>
      </x:c>
      <x:c r="H9" s="20" t="n">
        <x:f>SQRT((D9-F9)^2+(E9-G9)^2)</x:f>
        <x:v>35.11409973215888</x:v>
      </x:c>
      <x:c r="I9" s="11" t="n">
        <x:v>3</x:v>
      </x:c>
      <x:c r="J9" s="11" t="n">
        <x:v>5</x:v>
      </x:c>
      <x:c r="K9" s="11" t="n">
        <x:v>8</x:v>
      </x:c>
      <x:c r="L9" s="11" t="n">
        <x:f>IF(H9&lt;=I9,1,0)</x:f>
        <x:v>0</x:v>
      </x:c>
      <x:c r="M9" s="11" t="n">
        <x:f>IF(H9&lt;=J9,1,0)</x:f>
        <x:v>0</x:v>
      </x:c>
      <x:c r="N9" s="11" t="n">
        <x:f>IF(H9&lt;=K9,1,0)</x:f>
        <x:v>0</x:v>
      </x:c>
      <x:c r="O9" s="11" t="n">
        <x:v>0</x:v>
      </x:c>
      <x:c r="P9" s="11" t="str">
        <x:v>합성 파생</x:v>
      </x:c>
      <x:c r="Q9" s="11" t="str">
        <x:v>평면 직선거리만 반영; 벽·높이·공조·가스 물성 미반영</x:v>
      </x:c>
    </x:row>
    <x:row r="10">
      <x:c r="A10" s="11" t="str">
        <x:v>C01</x:v>
      </x:c>
      <x:c r="B10" s="11" t="str">
        <x:v>Z09</x:v>
      </x:c>
      <x:c r="C10" s="11" t="str">
        <x:v>Z01</x:v>
      </x:c>
      <x:c r="D10" s="11" t="n">
        <x:v>11</x:v>
      </x:c>
      <x:c r="E10" s="11" t="n">
        <x:v>18</x:v>
      </x:c>
      <x:c r="F10" s="11" t="n">
        <x:v>32</x:v>
      </x:c>
      <x:c r="G10" s="11" t="n">
        <x:v>6</x:v>
      </x:c>
      <x:c r="H10" s="20" t="n">
        <x:f>SQRT((D10-F10)^2+(E10-G10)^2)</x:f>
        <x:v>24.186773244895647</x:v>
      </x:c>
      <x:c r="I10" s="11" t="n">
        <x:v>3</x:v>
      </x:c>
      <x:c r="J10" s="11" t="n">
        <x:v>5</x:v>
      </x:c>
      <x:c r="K10" s="11" t="n">
        <x:v>8</x:v>
      </x:c>
      <x:c r="L10" s="11" t="n">
        <x:f>IF(H10&lt;=I10,1,0)</x:f>
        <x:v>0</x:v>
      </x:c>
      <x:c r="M10" s="11" t="n">
        <x:f>IF(H10&lt;=J10,1,0)</x:f>
        <x:v>0</x:v>
      </x:c>
      <x:c r="N10" s="11" t="n">
        <x:f>IF(H10&lt;=K10,1,0)</x:f>
        <x:v>0</x:v>
      </x:c>
      <x:c r="O10" s="11" t="n">
        <x:v>0</x:v>
      </x:c>
      <x:c r="P10" s="11" t="str">
        <x:v>합성 파생</x:v>
      </x:c>
      <x:c r="Q10" s="11" t="str">
        <x:v>평면 직선거리만 반영; 벽·높이·공조·가스 물성 미반영</x:v>
      </x:c>
    </x:row>
    <x:row r="11">
      <x:c r="A11" s="11" t="str">
        <x:v>C01</x:v>
      </x:c>
      <x:c r="B11" s="11" t="str">
        <x:v>Z10</x:v>
      </x:c>
      <x:c r="C11" s="11" t="str">
        <x:v>Z01</x:v>
      </x:c>
      <x:c r="D11" s="11" t="n">
        <x:v>11</x:v>
      </x:c>
      <x:c r="E11" s="11" t="n">
        <x:v>18</x:v>
      </x:c>
      <x:c r="F11" s="11" t="n">
        <x:v>53</x:v>
      </x:c>
      <x:c r="G11" s="11" t="n">
        <x:v>31</x:v>
      </x:c>
      <x:c r="H11" s="20" t="n">
        <x:f>SQRT((D11-F11)^2+(E11-G11)^2)</x:f>
        <x:v>43.965895873961216</x:v>
      </x:c>
      <x:c r="I11" s="11" t="n">
        <x:v>3</x:v>
      </x:c>
      <x:c r="J11" s="11" t="n">
        <x:v>5</x:v>
      </x:c>
      <x:c r="K11" s="11" t="n">
        <x:v>8</x:v>
      </x:c>
      <x:c r="L11" s="11" t="n">
        <x:f>IF(H11&lt;=I11,1,0)</x:f>
        <x:v>0</x:v>
      </x:c>
      <x:c r="M11" s="11" t="n">
        <x:f>IF(H11&lt;=J11,1,0)</x:f>
        <x:v>0</x:v>
      </x:c>
      <x:c r="N11" s="11" t="n">
        <x:f>IF(H11&lt;=K11,1,0)</x:f>
        <x:v>0</x:v>
      </x:c>
      <x:c r="O11" s="11" t="n">
        <x:v>0</x:v>
      </x:c>
      <x:c r="P11" s="11" t="str">
        <x:v>합성 파생</x:v>
      </x:c>
      <x:c r="Q11" s="11" t="str">
        <x:v>평면 직선거리만 반영; 벽·높이·공조·가스 물성 미반영</x:v>
      </x:c>
    </x:row>
    <x:row r="12">
      <x:c r="A12" s="11" t="str">
        <x:v>C01</x:v>
      </x:c>
      <x:c r="B12" s="11" t="str">
        <x:v>Z11</x:v>
      </x:c>
      <x:c r="C12" s="11" t="str">
        <x:v>Z01</x:v>
      </x:c>
      <x:c r="D12" s="11" t="n">
        <x:v>11</x:v>
      </x:c>
      <x:c r="E12" s="11" t="n">
        <x:v>18</x:v>
      </x:c>
      <x:c r="F12" s="11" t="n">
        <x:v>38</x:v>
      </x:c>
      <x:c r="G12" s="11" t="n">
        <x:v>31</x:v>
      </x:c>
      <x:c r="H12" s="20" t="n">
        <x:f>SQRT((D12-F12)^2+(E12-G12)^2)</x:f>
        <x:v>29.966648127543394</x:v>
      </x:c>
      <x:c r="I12" s="11" t="n">
        <x:v>3</x:v>
      </x:c>
      <x:c r="J12" s="11" t="n">
        <x:v>5</x:v>
      </x:c>
      <x:c r="K12" s="11" t="n">
        <x:v>8</x:v>
      </x:c>
      <x:c r="L12" s="11" t="n">
        <x:f>IF(H12&lt;=I12,1,0)</x:f>
        <x:v>0</x:v>
      </x:c>
      <x:c r="M12" s="11" t="n">
        <x:f>IF(H12&lt;=J12,1,0)</x:f>
        <x:v>0</x:v>
      </x:c>
      <x:c r="N12" s="11" t="n">
        <x:f>IF(H12&lt;=K12,1,0)</x:f>
        <x:v>0</x:v>
      </x:c>
      <x:c r="O12" s="11" t="n">
        <x:v>0</x:v>
      </x:c>
      <x:c r="P12" s="11" t="str">
        <x:v>합성 파생</x:v>
      </x:c>
      <x:c r="Q12" s="11" t="str">
        <x:v>평면 직선거리만 반영; 벽·높이·공조·가스 물성 미반영</x:v>
      </x:c>
    </x:row>
    <x:row r="13">
      <x:c r="A13" s="11" t="str">
        <x:v>C01</x:v>
      </x:c>
      <x:c r="B13" s="11" t="str">
        <x:v>Z12</x:v>
      </x:c>
      <x:c r="C13" s="11" t="str">
        <x:v>Z01</x:v>
      </x:c>
      <x:c r="D13" s="11" t="n">
        <x:v>11</x:v>
      </x:c>
      <x:c r="E13" s="11" t="n">
        <x:v>18</x:v>
      </x:c>
      <x:c r="F13" s="11" t="n">
        <x:v>54</x:v>
      </x:c>
      <x:c r="G13" s="11" t="n">
        <x:v>6</x:v>
      </x:c>
      <x:c r="H13" s="20" t="n">
        <x:f>SQRT((D13-F13)^2+(E13-G13)^2)</x:f>
        <x:v>44.64302857109943</x:v>
      </x:c>
      <x:c r="I13" s="11" t="n">
        <x:v>3</x:v>
      </x:c>
      <x:c r="J13" s="11" t="n">
        <x:v>5</x:v>
      </x:c>
      <x:c r="K13" s="11" t="n">
        <x:v>8</x:v>
      </x:c>
      <x:c r="L13" s="11" t="n">
        <x:f>IF(H13&lt;=I13,1,0)</x:f>
        <x:v>0</x:v>
      </x:c>
      <x:c r="M13" s="11" t="n">
        <x:f>IF(H13&lt;=J13,1,0)</x:f>
        <x:v>0</x:v>
      </x:c>
      <x:c r="N13" s="11" t="n">
        <x:f>IF(H13&lt;=K13,1,0)</x:f>
        <x:v>0</x:v>
      </x:c>
      <x:c r="O13" s="11" t="n">
        <x:v>0</x:v>
      </x:c>
      <x:c r="P13" s="11" t="str">
        <x:v>합성 파생</x:v>
      </x:c>
      <x:c r="Q13" s="11" t="str">
        <x:v>평면 직선거리만 반영; 벽·높이·공조·가스 물성 미반영</x:v>
      </x:c>
    </x:row>
    <x:row r="14">
      <x:c r="A14" s="11" t="str">
        <x:v>C02</x:v>
      </x:c>
      <x:c r="B14" s="11" t="str">
        <x:v>Z01</x:v>
      </x:c>
      <x:c r="C14" s="11" t="str">
        <x:v>Z02</x:v>
      </x:c>
      <x:c r="D14" s="11" t="n">
        <x:v>31</x:v>
      </x:c>
      <x:c r="E14" s="11" t="n">
        <x:v>18</x:v>
      </x:c>
      <x:c r="F14" s="11" t="n">
        <x:v>11</x:v>
      </x:c>
      <x:c r="G14" s="11" t="n">
        <x:v>18</x:v>
      </x:c>
      <x:c r="H14" s="20" t="n">
        <x:f>SQRT((D14-F14)^2+(E14-G14)^2)</x:f>
        <x:v>20</x:v>
      </x:c>
      <x:c r="I14" s="11" t="n">
        <x:v>3</x:v>
      </x:c>
      <x:c r="J14" s="11" t="n">
        <x:v>5</x:v>
      </x:c>
      <x:c r="K14" s="11" t="n">
        <x:v>8</x:v>
      </x:c>
      <x:c r="L14" s="11" t="n">
        <x:f>IF(H14&lt;=I14,1,0)</x:f>
        <x:v>0</x:v>
      </x:c>
      <x:c r="M14" s="11" t="n">
        <x:f>IF(H14&lt;=J14,1,0)</x:f>
        <x:v>0</x:v>
      </x:c>
      <x:c r="N14" s="11" t="n">
        <x:f>IF(H14&lt;=K14,1,0)</x:f>
        <x:v>0</x:v>
      </x:c>
      <x:c r="O14" s="11" t="n">
        <x:v>0</x:v>
      </x:c>
      <x:c r="P14" s="11" t="str">
        <x:v>합성 파생</x:v>
      </x:c>
      <x:c r="Q14" s="11" t="str">
        <x:v>평면 직선거리만 반영; 벽·높이·공조·가스 물성 미반영</x:v>
      </x:c>
    </x:row>
    <x:row r="15">
      <x:c r="A15" s="11" t="str">
        <x:v>C02</x:v>
      </x:c>
      <x:c r="B15" s="11" t="str">
        <x:v>Z02</x:v>
      </x:c>
      <x:c r="C15" s="11" t="str">
        <x:v>Z02</x:v>
      </x:c>
      <x:c r="D15" s="11" t="n">
        <x:v>31</x:v>
      </x:c>
      <x:c r="E15" s="11" t="n">
        <x:v>18</x:v>
      </x:c>
      <x:c r="F15" s="11" t="n">
        <x:v>31</x:v>
      </x:c>
      <x:c r="G15" s="11" t="n">
        <x:v>18</x:v>
      </x:c>
      <x:c r="H15" s="20" t="n">
        <x:f>SQRT((D15-F15)^2+(E15-G15)^2)</x:f>
        <x:v>0</x:v>
      </x:c>
      <x:c r="I15" s="11" t="n">
        <x:v>3</x:v>
      </x:c>
      <x:c r="J15" s="11" t="n">
        <x:v>5</x:v>
      </x:c>
      <x:c r="K15" s="11" t="n">
        <x:v>8</x:v>
      </x:c>
      <x:c r="L15" s="11" t="n">
        <x:f>IF(H15&lt;=I15,1,0)</x:f>
        <x:v>1</x:v>
      </x:c>
      <x:c r="M15" s="11" t="n">
        <x:f>IF(H15&lt;=J15,1,0)</x:f>
        <x:v>1</x:v>
      </x:c>
      <x:c r="N15" s="11" t="n">
        <x:f>IF(H15&lt;=K15,1,0)</x:f>
        <x:v>1</x:v>
      </x:c>
      <x:c r="O15" s="11" t="n">
        <x:v>1</x:v>
      </x:c>
      <x:c r="P15" s="11" t="str">
        <x:v>합성 파생</x:v>
      </x:c>
      <x:c r="Q15" s="11" t="str">
        <x:v>평면 직선거리만 반영; 벽·높이·공조·가스 물성 미반영</x:v>
      </x:c>
    </x:row>
    <x:row r="16">
      <x:c r="A16" s="11" t="str">
        <x:v>C02</x:v>
      </x:c>
      <x:c r="B16" s="11" t="str">
        <x:v>Z03</x:v>
      </x:c>
      <x:c r="C16" s="11" t="str">
        <x:v>Z02</x:v>
      </x:c>
      <x:c r="D16" s="11" t="n">
        <x:v>31</x:v>
      </x:c>
      <x:c r="E16" s="11" t="n">
        <x:v>18</x:v>
      </x:c>
      <x:c r="F16" s="11" t="n">
        <x:v>50</x:v>
      </x:c>
      <x:c r="G16" s="11" t="n">
        <x:v>18</x:v>
      </x:c>
      <x:c r="H16" s="20" t="n">
        <x:f>SQRT((D16-F16)^2+(E16-G16)^2)</x:f>
        <x:v>19</x:v>
      </x:c>
      <x:c r="I16" s="11" t="n">
        <x:v>3</x:v>
      </x:c>
      <x:c r="J16" s="11" t="n">
        <x:v>5</x:v>
      </x:c>
      <x:c r="K16" s="11" t="n">
        <x:v>8</x:v>
      </x:c>
      <x:c r="L16" s="11" t="n">
        <x:f>IF(H16&lt;=I16,1,0)</x:f>
        <x:v>0</x:v>
      </x:c>
      <x:c r="M16" s="11" t="n">
        <x:f>IF(H16&lt;=J16,1,0)</x:f>
        <x:v>0</x:v>
      </x:c>
      <x:c r="N16" s="11" t="n">
        <x:f>IF(H16&lt;=K16,1,0)</x:f>
        <x:v>0</x:v>
      </x:c>
      <x:c r="O16" s="11" t="n">
        <x:v>0</x:v>
      </x:c>
      <x:c r="P16" s="11" t="str">
        <x:v>합성 파생</x:v>
      </x:c>
      <x:c r="Q16" s="11" t="str">
        <x:v>평면 직선거리만 반영; 벽·높이·공조·가스 물성 미반영</x:v>
      </x:c>
    </x:row>
    <x:row r="17">
      <x:c r="A17" s="11" t="str">
        <x:v>C02</x:v>
      </x:c>
      <x:c r="B17" s="11" t="str">
        <x:v>Z04</x:v>
      </x:c>
      <x:c r="C17" s="11" t="str">
        <x:v>Z02</x:v>
      </x:c>
      <x:c r="D17" s="11" t="n">
        <x:v>31</x:v>
      </x:c>
      <x:c r="E17" s="11" t="n">
        <x:v>18</x:v>
      </x:c>
      <x:c r="F17" s="11" t="n">
        <x:v>19</x:v>
      </x:c>
      <x:c r="G17" s="11" t="n">
        <x:v>6</x:v>
      </x:c>
      <x:c r="H17" s="20" t="n">
        <x:f>SQRT((D17-F17)^2+(E17-G17)^2)</x:f>
        <x:v>16.97056274847714</x:v>
      </x:c>
      <x:c r="I17" s="11" t="n">
        <x:v>3</x:v>
      </x:c>
      <x:c r="J17" s="11" t="n">
        <x:v>5</x:v>
      </x:c>
      <x:c r="K17" s="11" t="n">
        <x:v>8</x:v>
      </x:c>
      <x:c r="L17" s="11" t="n">
        <x:f>IF(H17&lt;=I17,1,0)</x:f>
        <x:v>0</x:v>
      </x:c>
      <x:c r="M17" s="11" t="n">
        <x:f>IF(H17&lt;=J17,1,0)</x:f>
        <x:v>0</x:v>
      </x:c>
      <x:c r="N17" s="11" t="n">
        <x:f>IF(H17&lt;=K17,1,0)</x:f>
        <x:v>0</x:v>
      </x:c>
      <x:c r="O17" s="11" t="n">
        <x:v>0</x:v>
      </x:c>
      <x:c r="P17" s="11" t="str">
        <x:v>합성 파생</x:v>
      </x:c>
      <x:c r="Q17" s="11" t="str">
        <x:v>평면 직선거리만 반영; 벽·높이·공조·가스 물성 미반영</x:v>
      </x:c>
    </x:row>
    <x:row r="18">
      <x:c r="A18" s="11" t="str">
        <x:v>C02</x:v>
      </x:c>
      <x:c r="B18" s="11" t="str">
        <x:v>Z05</x:v>
      </x:c>
      <x:c r="C18" s="11" t="str">
        <x:v>Z02</x:v>
      </x:c>
      <x:c r="D18" s="11" t="n">
        <x:v>31</x:v>
      </x:c>
      <x:c r="E18" s="11" t="n">
        <x:v>18</x:v>
      </x:c>
      <x:c r="F18" s="11" t="n">
        <x:v>7</x:v>
      </x:c>
      <x:c r="G18" s="11" t="n">
        <x:v>6</x:v>
      </x:c>
      <x:c r="H18" s="20" t="n">
        <x:f>SQRT((D18-F18)^2+(E18-G18)^2)</x:f>
        <x:v>26.832815729997478</x:v>
      </x:c>
      <x:c r="I18" s="11" t="n">
        <x:v>3</x:v>
      </x:c>
      <x:c r="J18" s="11" t="n">
        <x:v>5</x:v>
      </x:c>
      <x:c r="K18" s="11" t="n">
        <x:v>8</x:v>
      </x:c>
      <x:c r="L18" s="11" t="n">
        <x:f>IF(H18&lt;=I18,1,0)</x:f>
        <x:v>0</x:v>
      </x:c>
      <x:c r="M18" s="11" t="n">
        <x:f>IF(H18&lt;=J18,1,0)</x:f>
        <x:v>0</x:v>
      </x:c>
      <x:c r="N18" s="11" t="n">
        <x:f>IF(H18&lt;=K18,1,0)</x:f>
        <x:v>0</x:v>
      </x:c>
      <x:c r="O18" s="11" t="n">
        <x:v>0</x:v>
      </x:c>
      <x:c r="P18" s="11" t="str">
        <x:v>합성 파생</x:v>
      </x:c>
      <x:c r="Q18" s="11" t="str">
        <x:v>평면 직선거리만 반영; 벽·높이·공조·가스 물성 미반영</x:v>
      </x:c>
    </x:row>
    <x:row r="19">
      <x:c r="A19" s="11" t="str">
        <x:v>C02</x:v>
      </x:c>
      <x:c r="B19" s="11" t="str">
        <x:v>Z06</x:v>
      </x:c>
      <x:c r="C19" s="11" t="str">
        <x:v>Z02</x:v>
      </x:c>
      <x:c r="D19" s="11" t="n">
        <x:v>31</x:v>
      </x:c>
      <x:c r="E19" s="11" t="n">
        <x:v>18</x:v>
      </x:c>
      <x:c r="F19" s="11" t="n">
        <x:v>8</x:v>
      </x:c>
      <x:c r="G19" s="11" t="n">
        <x:v>31</x:v>
      </x:c>
      <x:c r="H19" s="20" t="n">
        <x:f>SQRT((D19-F19)^2+(E19-G19)^2)</x:f>
        <x:v>26.419689627245813</x:v>
      </x:c>
      <x:c r="I19" s="11" t="n">
        <x:v>3</x:v>
      </x:c>
      <x:c r="J19" s="11" t="n">
        <x:v>5</x:v>
      </x:c>
      <x:c r="K19" s="11" t="n">
        <x:v>8</x:v>
      </x:c>
      <x:c r="L19" s="11" t="n">
        <x:f>IF(H19&lt;=I19,1,0)</x:f>
        <x:v>0</x:v>
      </x:c>
      <x:c r="M19" s="11" t="n">
        <x:f>IF(H19&lt;=J19,1,0)</x:f>
        <x:v>0</x:v>
      </x:c>
      <x:c r="N19" s="11" t="n">
        <x:f>IF(H19&lt;=K19,1,0)</x:f>
        <x:v>0</x:v>
      </x:c>
      <x:c r="O19" s="11" t="n">
        <x:v>0</x:v>
      </x:c>
      <x:c r="P19" s="11" t="str">
        <x:v>합성 파생</x:v>
      </x:c>
      <x:c r="Q19" s="11" t="str">
        <x:v>평면 직선거리만 반영; 벽·높이·공조·가스 물성 미반영</x:v>
      </x:c>
    </x:row>
    <x:row r="20">
      <x:c r="A20" s="11" t="str">
        <x:v>C02</x:v>
      </x:c>
      <x:c r="B20" s="11" t="str">
        <x:v>Z07</x:v>
      </x:c>
      <x:c r="C20" s="11" t="str">
        <x:v>Z02</x:v>
      </x:c>
      <x:c r="D20" s="11" t="n">
        <x:v>31</x:v>
      </x:c>
      <x:c r="E20" s="11" t="n">
        <x:v>18</x:v>
      </x:c>
      <x:c r="F20" s="11" t="n">
        <x:v>22</x:v>
      </x:c>
      <x:c r="G20" s="11" t="n">
        <x:v>31</x:v>
      </x:c>
      <x:c r="H20" s="20" t="n">
        <x:f>SQRT((D20-F20)^2+(E20-G20)^2)</x:f>
        <x:v>15.811388300841896</x:v>
      </x:c>
      <x:c r="I20" s="11" t="n">
        <x:v>3</x:v>
      </x:c>
      <x:c r="J20" s="11" t="n">
        <x:v>5</x:v>
      </x:c>
      <x:c r="K20" s="11" t="n">
        <x:v>8</x:v>
      </x:c>
      <x:c r="L20" s="11" t="n">
        <x:f>IF(H20&lt;=I20,1,0)</x:f>
        <x:v>0</x:v>
      </x:c>
      <x:c r="M20" s="11" t="n">
        <x:f>IF(H20&lt;=J20,1,0)</x:f>
        <x:v>0</x:v>
      </x:c>
      <x:c r="N20" s="11" t="n">
        <x:f>IF(H20&lt;=K20,1,0)</x:f>
        <x:v>0</x:v>
      </x:c>
      <x:c r="O20" s="11" t="n">
        <x:v>0</x:v>
      </x:c>
      <x:c r="P20" s="11" t="str">
        <x:v>합성 파생</x:v>
      </x:c>
      <x:c r="Q20" s="11" t="str">
        <x:v>평면 직선거리만 반영; 벽·높이·공조·가스 물성 미반영</x:v>
      </x:c>
    </x:row>
    <x:row r="21">
      <x:c r="A21" s="11" t="str">
        <x:v>C02</x:v>
      </x:c>
      <x:c r="B21" s="11" t="str">
        <x:v>Z08</x:v>
      </x:c>
      <x:c r="C21" s="11" t="str">
        <x:v>Z02</x:v>
      </x:c>
      <x:c r="D21" s="11" t="n">
        <x:v>31</x:v>
      </x:c>
      <x:c r="E21" s="11" t="n">
        <x:v>18</x:v>
      </x:c>
      <x:c r="F21" s="11" t="n">
        <x:v>44</x:v>
      </x:c>
      <x:c r="G21" s="11" t="n">
        <x:v>6</x:v>
      </x:c>
      <x:c r="H21" s="20" t="n">
        <x:f>SQRT((D21-F21)^2+(E21-G21)^2)</x:f>
        <x:v>17.69180601295413</x:v>
      </x:c>
      <x:c r="I21" s="11" t="n">
        <x:v>3</x:v>
      </x:c>
      <x:c r="J21" s="11" t="n">
        <x:v>5</x:v>
      </x:c>
      <x:c r="K21" s="11" t="n">
        <x:v>8</x:v>
      </x:c>
      <x:c r="L21" s="11" t="n">
        <x:f>IF(H21&lt;=I21,1,0)</x:f>
        <x:v>0</x:v>
      </x:c>
      <x:c r="M21" s="11" t="n">
        <x:f>IF(H21&lt;=J21,1,0)</x:f>
        <x:v>0</x:v>
      </x:c>
      <x:c r="N21" s="11" t="n">
        <x:f>IF(H21&lt;=K21,1,0)</x:f>
        <x:v>0</x:v>
      </x:c>
      <x:c r="O21" s="11" t="n">
        <x:v>0</x:v>
      </x:c>
      <x:c r="P21" s="11" t="str">
        <x:v>합성 파생</x:v>
      </x:c>
      <x:c r="Q21" s="11" t="str">
        <x:v>평면 직선거리만 반영; 벽·높이·공조·가스 물성 미반영</x:v>
      </x:c>
    </x:row>
    <x:row r="22">
      <x:c r="A22" s="11" t="str">
        <x:v>C02</x:v>
      </x:c>
      <x:c r="B22" s="11" t="str">
        <x:v>Z09</x:v>
      </x:c>
      <x:c r="C22" s="11" t="str">
        <x:v>Z02</x:v>
      </x:c>
      <x:c r="D22" s="11" t="n">
        <x:v>31</x:v>
      </x:c>
      <x:c r="E22" s="11" t="n">
        <x:v>18</x:v>
      </x:c>
      <x:c r="F22" s="11" t="n">
        <x:v>32</x:v>
      </x:c>
      <x:c r="G22" s="11" t="n">
        <x:v>6</x:v>
      </x:c>
      <x:c r="H22" s="20" t="n">
        <x:f>SQRT((D22-F22)^2+(E22-G22)^2)</x:f>
        <x:v>12.041594578792296</x:v>
      </x:c>
      <x:c r="I22" s="11" t="n">
        <x:v>3</x:v>
      </x:c>
      <x:c r="J22" s="11" t="n">
        <x:v>5</x:v>
      </x:c>
      <x:c r="K22" s="11" t="n">
        <x:v>8</x:v>
      </x:c>
      <x:c r="L22" s="11" t="n">
        <x:f>IF(H22&lt;=I22,1,0)</x:f>
        <x:v>0</x:v>
      </x:c>
      <x:c r="M22" s="11" t="n">
        <x:f>IF(H22&lt;=J22,1,0)</x:f>
        <x:v>0</x:v>
      </x:c>
      <x:c r="N22" s="11" t="n">
        <x:f>IF(H22&lt;=K22,1,0)</x:f>
        <x:v>0</x:v>
      </x:c>
      <x:c r="O22" s="11" t="n">
        <x:v>0</x:v>
      </x:c>
      <x:c r="P22" s="11" t="str">
        <x:v>합성 파생</x:v>
      </x:c>
      <x:c r="Q22" s="11" t="str">
        <x:v>평면 직선거리만 반영; 벽·높이·공조·가스 물성 미반영</x:v>
      </x:c>
    </x:row>
    <x:row r="23">
      <x:c r="A23" s="11" t="str">
        <x:v>C02</x:v>
      </x:c>
      <x:c r="B23" s="11" t="str">
        <x:v>Z10</x:v>
      </x:c>
      <x:c r="C23" s="11" t="str">
        <x:v>Z02</x:v>
      </x:c>
      <x:c r="D23" s="11" t="n">
        <x:v>31</x:v>
      </x:c>
      <x:c r="E23" s="11" t="n">
        <x:v>18</x:v>
      </x:c>
      <x:c r="F23" s="11" t="n">
        <x:v>53</x:v>
      </x:c>
      <x:c r="G23" s="11" t="n">
        <x:v>31</x:v>
      </x:c>
      <x:c r="H23" s="20" t="n">
        <x:f>SQRT((D23-F23)^2+(E23-G23)^2)</x:f>
        <x:v>25.553864678361276</x:v>
      </x:c>
      <x:c r="I23" s="11" t="n">
        <x:v>3</x:v>
      </x:c>
      <x:c r="J23" s="11" t="n">
        <x:v>5</x:v>
      </x:c>
      <x:c r="K23" s="11" t="n">
        <x:v>8</x:v>
      </x:c>
      <x:c r="L23" s="11" t="n">
        <x:f>IF(H23&lt;=I23,1,0)</x:f>
        <x:v>0</x:v>
      </x:c>
      <x:c r="M23" s="11" t="n">
        <x:f>IF(H23&lt;=J23,1,0)</x:f>
        <x:v>0</x:v>
      </x:c>
      <x:c r="N23" s="11" t="n">
        <x:f>IF(H23&lt;=K23,1,0)</x:f>
        <x:v>0</x:v>
      </x:c>
      <x:c r="O23" s="11" t="n">
        <x:v>0</x:v>
      </x:c>
      <x:c r="P23" s="11" t="str">
        <x:v>합성 파생</x:v>
      </x:c>
      <x:c r="Q23" s="11" t="str">
        <x:v>평면 직선거리만 반영; 벽·높이·공조·가스 물성 미반영</x:v>
      </x:c>
    </x:row>
    <x:row r="24">
      <x:c r="A24" s="11" t="str">
        <x:v>C02</x:v>
      </x:c>
      <x:c r="B24" s="11" t="str">
        <x:v>Z11</x:v>
      </x:c>
      <x:c r="C24" s="11" t="str">
        <x:v>Z02</x:v>
      </x:c>
      <x:c r="D24" s="11" t="n">
        <x:v>31</x:v>
      </x:c>
      <x:c r="E24" s="11" t="n">
        <x:v>18</x:v>
      </x:c>
      <x:c r="F24" s="11" t="n">
        <x:v>38</x:v>
      </x:c>
      <x:c r="G24" s="11" t="n">
        <x:v>31</x:v>
      </x:c>
      <x:c r="H24" s="20" t="n">
        <x:f>SQRT((D24-F24)^2+(E24-G24)^2)</x:f>
        <x:v>14.7648230602334</x:v>
      </x:c>
      <x:c r="I24" s="11" t="n">
        <x:v>3</x:v>
      </x:c>
      <x:c r="J24" s="11" t="n">
        <x:v>5</x:v>
      </x:c>
      <x:c r="K24" s="11" t="n">
        <x:v>8</x:v>
      </x:c>
      <x:c r="L24" s="11" t="n">
        <x:f>IF(H24&lt;=I24,1,0)</x:f>
        <x:v>0</x:v>
      </x:c>
      <x:c r="M24" s="11" t="n">
        <x:f>IF(H24&lt;=J24,1,0)</x:f>
        <x:v>0</x:v>
      </x:c>
      <x:c r="N24" s="11" t="n">
        <x:f>IF(H24&lt;=K24,1,0)</x:f>
        <x:v>0</x:v>
      </x:c>
      <x:c r="O24" s="11" t="n">
        <x:v>0</x:v>
      </x:c>
      <x:c r="P24" s="11" t="str">
        <x:v>합성 파생</x:v>
      </x:c>
      <x:c r="Q24" s="11" t="str">
        <x:v>평면 직선거리만 반영; 벽·높이·공조·가스 물성 미반영</x:v>
      </x:c>
    </x:row>
    <x:row r="25">
      <x:c r="A25" s="11" t="str">
        <x:v>C02</x:v>
      </x:c>
      <x:c r="B25" s="11" t="str">
        <x:v>Z12</x:v>
      </x:c>
      <x:c r="C25" s="11" t="str">
        <x:v>Z02</x:v>
      </x:c>
      <x:c r="D25" s="11" t="n">
        <x:v>31</x:v>
      </x:c>
      <x:c r="E25" s="11" t="n">
        <x:v>18</x:v>
      </x:c>
      <x:c r="F25" s="11" t="n">
        <x:v>54</x:v>
      </x:c>
      <x:c r="G25" s="11" t="n">
        <x:v>6</x:v>
      </x:c>
      <x:c r="H25" s="20" t="n">
        <x:f>SQRT((D25-F25)^2+(E25-G25)^2)</x:f>
        <x:v>25.942243542145693</x:v>
      </x:c>
      <x:c r="I25" s="11" t="n">
        <x:v>3</x:v>
      </x:c>
      <x:c r="J25" s="11" t="n">
        <x:v>5</x:v>
      </x:c>
      <x:c r="K25" s="11" t="n">
        <x:v>8</x:v>
      </x:c>
      <x:c r="L25" s="11" t="n">
        <x:f>IF(H25&lt;=I25,1,0)</x:f>
        <x:v>0</x:v>
      </x:c>
      <x:c r="M25" s="11" t="n">
        <x:f>IF(H25&lt;=J25,1,0)</x:f>
        <x:v>0</x:v>
      </x:c>
      <x:c r="N25" s="11" t="n">
        <x:f>IF(H25&lt;=K25,1,0)</x:f>
        <x:v>0</x:v>
      </x:c>
      <x:c r="O25" s="11" t="n">
        <x:v>0</x:v>
      </x:c>
      <x:c r="P25" s="11" t="str">
        <x:v>합성 파생</x:v>
      </x:c>
      <x:c r="Q25" s="11" t="str">
        <x:v>평면 직선거리만 반영; 벽·높이·공조·가스 물성 미반영</x:v>
      </x:c>
    </x:row>
    <x:row r="26">
      <x:c r="A26" s="11" t="str">
        <x:v>C03</x:v>
      </x:c>
      <x:c r="B26" s="11" t="str">
        <x:v>Z01</x:v>
      </x:c>
      <x:c r="C26" s="11" t="str">
        <x:v>Z03</x:v>
      </x:c>
      <x:c r="D26" s="11" t="n">
        <x:v>50</x:v>
      </x:c>
      <x:c r="E26" s="11" t="n">
        <x:v>18</x:v>
      </x:c>
      <x:c r="F26" s="11" t="n">
        <x:v>11</x:v>
      </x:c>
      <x:c r="G26" s="11" t="n">
        <x:v>18</x:v>
      </x:c>
      <x:c r="H26" s="20" t="n">
        <x:f>SQRT((D26-F26)^2+(E26-G26)^2)</x:f>
        <x:v>39</x:v>
      </x:c>
      <x:c r="I26" s="11" t="n">
        <x:v>3</x:v>
      </x:c>
      <x:c r="J26" s="11" t="n">
        <x:v>5</x:v>
      </x:c>
      <x:c r="K26" s="11" t="n">
        <x:v>8</x:v>
      </x:c>
      <x:c r="L26" s="11" t="n">
        <x:f>IF(H26&lt;=I26,1,0)</x:f>
        <x:v>0</x:v>
      </x:c>
      <x:c r="M26" s="11" t="n">
        <x:f>IF(H26&lt;=J26,1,0)</x:f>
        <x:v>0</x:v>
      </x:c>
      <x:c r="N26" s="11" t="n">
        <x:f>IF(H26&lt;=K26,1,0)</x:f>
        <x:v>0</x:v>
      </x:c>
      <x:c r="O26" s="11" t="n">
        <x:v>0</x:v>
      </x:c>
      <x:c r="P26" s="11" t="str">
        <x:v>합성 파생</x:v>
      </x:c>
      <x:c r="Q26" s="11" t="str">
        <x:v>평면 직선거리만 반영; 벽·높이·공조·가스 물성 미반영</x:v>
      </x:c>
    </x:row>
    <x:row r="27">
      <x:c r="A27" s="11" t="str">
        <x:v>C03</x:v>
      </x:c>
      <x:c r="B27" s="11" t="str">
        <x:v>Z02</x:v>
      </x:c>
      <x:c r="C27" s="11" t="str">
        <x:v>Z03</x:v>
      </x:c>
      <x:c r="D27" s="11" t="n">
        <x:v>50</x:v>
      </x:c>
      <x:c r="E27" s="11" t="n">
        <x:v>18</x:v>
      </x:c>
      <x:c r="F27" s="11" t="n">
        <x:v>31</x:v>
      </x:c>
      <x:c r="G27" s="11" t="n">
        <x:v>18</x:v>
      </x:c>
      <x:c r="H27" s="20" t="n">
        <x:f>SQRT((D27-F27)^2+(E27-G27)^2)</x:f>
        <x:v>19</x:v>
      </x:c>
      <x:c r="I27" s="11" t="n">
        <x:v>3</x:v>
      </x:c>
      <x:c r="J27" s="11" t="n">
        <x:v>5</x:v>
      </x:c>
      <x:c r="K27" s="11" t="n">
        <x:v>8</x:v>
      </x:c>
      <x:c r="L27" s="11" t="n">
        <x:f>IF(H27&lt;=I27,1,0)</x:f>
        <x:v>0</x:v>
      </x:c>
      <x:c r="M27" s="11" t="n">
        <x:f>IF(H27&lt;=J27,1,0)</x:f>
        <x:v>0</x:v>
      </x:c>
      <x:c r="N27" s="11" t="n">
        <x:f>IF(H27&lt;=K27,1,0)</x:f>
        <x:v>0</x:v>
      </x:c>
      <x:c r="O27" s="11" t="n">
        <x:v>0</x:v>
      </x:c>
      <x:c r="P27" s="11" t="str">
        <x:v>합성 파생</x:v>
      </x:c>
      <x:c r="Q27" s="11" t="str">
        <x:v>평면 직선거리만 반영; 벽·높이·공조·가스 물성 미반영</x:v>
      </x:c>
    </x:row>
    <x:row r="28">
      <x:c r="A28" s="11" t="str">
        <x:v>C03</x:v>
      </x:c>
      <x:c r="B28" s="11" t="str">
        <x:v>Z03</x:v>
      </x:c>
      <x:c r="C28" s="11" t="str">
        <x:v>Z03</x:v>
      </x:c>
      <x:c r="D28" s="11" t="n">
        <x:v>50</x:v>
      </x:c>
      <x:c r="E28" s="11" t="n">
        <x:v>18</x:v>
      </x:c>
      <x:c r="F28" s="11" t="n">
        <x:v>50</x:v>
      </x:c>
      <x:c r="G28" s="11" t="n">
        <x:v>18</x:v>
      </x:c>
      <x:c r="H28" s="20" t="n">
        <x:f>SQRT((D28-F28)^2+(E28-G28)^2)</x:f>
        <x:v>0</x:v>
      </x:c>
      <x:c r="I28" s="11" t="n">
        <x:v>3</x:v>
      </x:c>
      <x:c r="J28" s="11" t="n">
        <x:v>5</x:v>
      </x:c>
      <x:c r="K28" s="11" t="n">
        <x:v>8</x:v>
      </x:c>
      <x:c r="L28" s="11" t="n">
        <x:f>IF(H28&lt;=I28,1,0)</x:f>
        <x:v>1</x:v>
      </x:c>
      <x:c r="M28" s="11" t="n">
        <x:f>IF(H28&lt;=J28,1,0)</x:f>
        <x:v>1</x:v>
      </x:c>
      <x:c r="N28" s="11" t="n">
        <x:f>IF(H28&lt;=K28,1,0)</x:f>
        <x:v>1</x:v>
      </x:c>
      <x:c r="O28" s="11" t="n">
        <x:v>1</x:v>
      </x:c>
      <x:c r="P28" s="11" t="str">
        <x:v>합성 파생</x:v>
      </x:c>
      <x:c r="Q28" s="11" t="str">
        <x:v>평면 직선거리만 반영; 벽·높이·공조·가스 물성 미반영</x:v>
      </x:c>
    </x:row>
    <x:row r="29">
      <x:c r="A29" s="11" t="str">
        <x:v>C03</x:v>
      </x:c>
      <x:c r="B29" s="11" t="str">
        <x:v>Z04</x:v>
      </x:c>
      <x:c r="C29" s="11" t="str">
        <x:v>Z03</x:v>
      </x:c>
      <x:c r="D29" s="11" t="n">
        <x:v>50</x:v>
      </x:c>
      <x:c r="E29" s="11" t="n">
        <x:v>18</x:v>
      </x:c>
      <x:c r="F29" s="11" t="n">
        <x:v>19</x:v>
      </x:c>
      <x:c r="G29" s="11" t="n">
        <x:v>6</x:v>
      </x:c>
      <x:c r="H29" s="20" t="n">
        <x:f>SQRT((D29-F29)^2+(E29-G29)^2)</x:f>
        <x:v>33.24154027718932</x:v>
      </x:c>
      <x:c r="I29" s="11" t="n">
        <x:v>3</x:v>
      </x:c>
      <x:c r="J29" s="11" t="n">
        <x:v>5</x:v>
      </x:c>
      <x:c r="K29" s="11" t="n">
        <x:v>8</x:v>
      </x:c>
      <x:c r="L29" s="11" t="n">
        <x:f>IF(H29&lt;=I29,1,0)</x:f>
        <x:v>0</x:v>
      </x:c>
      <x:c r="M29" s="11" t="n">
        <x:f>IF(H29&lt;=J29,1,0)</x:f>
        <x:v>0</x:v>
      </x:c>
      <x:c r="N29" s="11" t="n">
        <x:f>IF(H29&lt;=K29,1,0)</x:f>
        <x:v>0</x:v>
      </x:c>
      <x:c r="O29" s="11" t="n">
        <x:v>0</x:v>
      </x:c>
      <x:c r="P29" s="11" t="str">
        <x:v>합성 파생</x:v>
      </x:c>
      <x:c r="Q29" s="11" t="str">
        <x:v>평면 직선거리만 반영; 벽·높이·공조·가스 물성 미반영</x:v>
      </x:c>
    </x:row>
    <x:row r="30">
      <x:c r="A30" s="11" t="str">
        <x:v>C03</x:v>
      </x:c>
      <x:c r="B30" s="11" t="str">
        <x:v>Z05</x:v>
      </x:c>
      <x:c r="C30" s="11" t="str">
        <x:v>Z03</x:v>
      </x:c>
      <x:c r="D30" s="11" t="n">
        <x:v>50</x:v>
      </x:c>
      <x:c r="E30" s="11" t="n">
        <x:v>18</x:v>
      </x:c>
      <x:c r="F30" s="11" t="n">
        <x:v>7</x:v>
      </x:c>
      <x:c r="G30" s="11" t="n">
        <x:v>6</x:v>
      </x:c>
      <x:c r="H30" s="20" t="n">
        <x:f>SQRT((D30-F30)^2+(E30-G30)^2)</x:f>
        <x:v>44.64302857109943</x:v>
      </x:c>
      <x:c r="I30" s="11" t="n">
        <x:v>3</x:v>
      </x:c>
      <x:c r="J30" s="11" t="n">
        <x:v>5</x:v>
      </x:c>
      <x:c r="K30" s="11" t="n">
        <x:v>8</x:v>
      </x:c>
      <x:c r="L30" s="11" t="n">
        <x:f>IF(H30&lt;=I30,1,0)</x:f>
        <x:v>0</x:v>
      </x:c>
      <x:c r="M30" s="11" t="n">
        <x:f>IF(H30&lt;=J30,1,0)</x:f>
        <x:v>0</x:v>
      </x:c>
      <x:c r="N30" s="11" t="n">
        <x:f>IF(H30&lt;=K30,1,0)</x:f>
        <x:v>0</x:v>
      </x:c>
      <x:c r="O30" s="11" t="n">
        <x:v>0</x:v>
      </x:c>
      <x:c r="P30" s="11" t="str">
        <x:v>합성 파생</x:v>
      </x:c>
      <x:c r="Q30" s="11" t="str">
        <x:v>평면 직선거리만 반영; 벽·높이·공조·가스 물성 미반영</x:v>
      </x:c>
    </x:row>
    <x:row r="31">
      <x:c r="A31" s="11" t="str">
        <x:v>C03</x:v>
      </x:c>
      <x:c r="B31" s="11" t="str">
        <x:v>Z06</x:v>
      </x:c>
      <x:c r="C31" s="11" t="str">
        <x:v>Z03</x:v>
      </x:c>
      <x:c r="D31" s="11" t="n">
        <x:v>50</x:v>
      </x:c>
      <x:c r="E31" s="11" t="n">
        <x:v>18</x:v>
      </x:c>
      <x:c r="F31" s="11" t="n">
        <x:v>8</x:v>
      </x:c>
      <x:c r="G31" s="11" t="n">
        <x:v>31</x:v>
      </x:c>
      <x:c r="H31" s="20" t="n">
        <x:f>SQRT((D31-F31)^2+(E31-G31)^2)</x:f>
        <x:v>43.965895873961216</x:v>
      </x:c>
      <x:c r="I31" s="11" t="n">
        <x:v>3</x:v>
      </x:c>
      <x:c r="J31" s="11" t="n">
        <x:v>5</x:v>
      </x:c>
      <x:c r="K31" s="11" t="n">
        <x:v>8</x:v>
      </x:c>
      <x:c r="L31" s="11" t="n">
        <x:f>IF(H31&lt;=I31,1,0)</x:f>
        <x:v>0</x:v>
      </x:c>
      <x:c r="M31" s="11" t="n">
        <x:f>IF(H31&lt;=J31,1,0)</x:f>
        <x:v>0</x:v>
      </x:c>
      <x:c r="N31" s="11" t="n">
        <x:f>IF(H31&lt;=K31,1,0)</x:f>
        <x:v>0</x:v>
      </x:c>
      <x:c r="O31" s="11" t="n">
        <x:v>0</x:v>
      </x:c>
      <x:c r="P31" s="11" t="str">
        <x:v>합성 파생</x:v>
      </x:c>
      <x:c r="Q31" s="11" t="str">
        <x:v>평면 직선거리만 반영; 벽·높이·공조·가스 물성 미반영</x:v>
      </x:c>
    </x:row>
    <x:row r="32">
      <x:c r="A32" s="11" t="str">
        <x:v>C03</x:v>
      </x:c>
      <x:c r="B32" s="11" t="str">
        <x:v>Z07</x:v>
      </x:c>
      <x:c r="C32" s="11" t="str">
        <x:v>Z03</x:v>
      </x:c>
      <x:c r="D32" s="11" t="n">
        <x:v>50</x:v>
      </x:c>
      <x:c r="E32" s="11" t="n">
        <x:v>18</x:v>
      </x:c>
      <x:c r="F32" s="11" t="n">
        <x:v>22</x:v>
      </x:c>
      <x:c r="G32" s="11" t="n">
        <x:v>31</x:v>
      </x:c>
      <x:c r="H32" s="20" t="n">
        <x:f>SQRT((D32-F32)^2+(E32-G32)^2)</x:f>
        <x:v>30.870698080866262</x:v>
      </x:c>
      <x:c r="I32" s="11" t="n">
        <x:v>3</x:v>
      </x:c>
      <x:c r="J32" s="11" t="n">
        <x:v>5</x:v>
      </x:c>
      <x:c r="K32" s="11" t="n">
        <x:v>8</x:v>
      </x:c>
      <x:c r="L32" s="11" t="n">
        <x:f>IF(H32&lt;=I32,1,0)</x:f>
        <x:v>0</x:v>
      </x:c>
      <x:c r="M32" s="11" t="n">
        <x:f>IF(H32&lt;=J32,1,0)</x:f>
        <x:v>0</x:v>
      </x:c>
      <x:c r="N32" s="11" t="n">
        <x:f>IF(H32&lt;=K32,1,0)</x:f>
        <x:v>0</x:v>
      </x:c>
      <x:c r="O32" s="11" t="n">
        <x:v>0</x:v>
      </x:c>
      <x:c r="P32" s="11" t="str">
        <x:v>합성 파생</x:v>
      </x:c>
      <x:c r="Q32" s="11" t="str">
        <x:v>평면 직선거리만 반영; 벽·높이·공조·가스 물성 미반영</x:v>
      </x:c>
    </x:row>
    <x:row r="33">
      <x:c r="A33" s="11" t="str">
        <x:v>C03</x:v>
      </x:c>
      <x:c r="B33" s="11" t="str">
        <x:v>Z08</x:v>
      </x:c>
      <x:c r="C33" s="11" t="str">
        <x:v>Z03</x:v>
      </x:c>
      <x:c r="D33" s="11" t="n">
        <x:v>50</x:v>
      </x:c>
      <x:c r="E33" s="11" t="n">
        <x:v>18</x:v>
      </x:c>
      <x:c r="F33" s="11" t="n">
        <x:v>44</x:v>
      </x:c>
      <x:c r="G33" s="11" t="n">
        <x:v>6</x:v>
      </x:c>
      <x:c r="H33" s="20" t="n">
        <x:f>SQRT((D33-F33)^2+(E33-G33)^2)</x:f>
        <x:v>13.416407864998739</x:v>
      </x:c>
      <x:c r="I33" s="11" t="n">
        <x:v>3</x:v>
      </x:c>
      <x:c r="J33" s="11" t="n">
        <x:v>5</x:v>
      </x:c>
      <x:c r="K33" s="11" t="n">
        <x:v>8</x:v>
      </x:c>
      <x:c r="L33" s="11" t="n">
        <x:f>IF(H33&lt;=I33,1,0)</x:f>
        <x:v>0</x:v>
      </x:c>
      <x:c r="M33" s="11" t="n">
        <x:f>IF(H33&lt;=J33,1,0)</x:f>
        <x:v>0</x:v>
      </x:c>
      <x:c r="N33" s="11" t="n">
        <x:f>IF(H33&lt;=K33,1,0)</x:f>
        <x:v>0</x:v>
      </x:c>
      <x:c r="O33" s="11" t="n">
        <x:v>0</x:v>
      </x:c>
      <x:c r="P33" s="11" t="str">
        <x:v>합성 파생</x:v>
      </x:c>
      <x:c r="Q33" s="11" t="str">
        <x:v>평면 직선거리만 반영; 벽·높이·공조·가스 물성 미반영</x:v>
      </x:c>
    </x:row>
    <x:row r="34">
      <x:c r="A34" s="11" t="str">
        <x:v>C03</x:v>
      </x:c>
      <x:c r="B34" s="11" t="str">
        <x:v>Z09</x:v>
      </x:c>
      <x:c r="C34" s="11" t="str">
        <x:v>Z03</x:v>
      </x:c>
      <x:c r="D34" s="11" t="n">
        <x:v>50</x:v>
      </x:c>
      <x:c r="E34" s="11" t="n">
        <x:v>18</x:v>
      </x:c>
      <x:c r="F34" s="11" t="n">
        <x:v>32</x:v>
      </x:c>
      <x:c r="G34" s="11" t="n">
        <x:v>6</x:v>
      </x:c>
      <x:c r="H34" s="20" t="n">
        <x:f>SQRT((D34-F34)^2+(E34-G34)^2)</x:f>
        <x:v>21.633307652783937</x:v>
      </x:c>
      <x:c r="I34" s="11" t="n">
        <x:v>3</x:v>
      </x:c>
      <x:c r="J34" s="11" t="n">
        <x:v>5</x:v>
      </x:c>
      <x:c r="K34" s="11" t="n">
        <x:v>8</x:v>
      </x:c>
      <x:c r="L34" s="11" t="n">
        <x:f>IF(H34&lt;=I34,1,0)</x:f>
        <x:v>0</x:v>
      </x:c>
      <x:c r="M34" s="11" t="n">
        <x:f>IF(H34&lt;=J34,1,0)</x:f>
        <x:v>0</x:v>
      </x:c>
      <x:c r="N34" s="11" t="n">
        <x:f>IF(H34&lt;=K34,1,0)</x:f>
        <x:v>0</x:v>
      </x:c>
      <x:c r="O34" s="11" t="n">
        <x:v>0</x:v>
      </x:c>
      <x:c r="P34" s="11" t="str">
        <x:v>합성 파생</x:v>
      </x:c>
      <x:c r="Q34" s="11" t="str">
        <x:v>평면 직선거리만 반영; 벽·높이·공조·가스 물성 미반영</x:v>
      </x:c>
    </x:row>
    <x:row r="35">
      <x:c r="A35" s="11" t="str">
        <x:v>C03</x:v>
      </x:c>
      <x:c r="B35" s="11" t="str">
        <x:v>Z10</x:v>
      </x:c>
      <x:c r="C35" s="11" t="str">
        <x:v>Z03</x:v>
      </x:c>
      <x:c r="D35" s="11" t="n">
        <x:v>50</x:v>
      </x:c>
      <x:c r="E35" s="11" t="n">
        <x:v>18</x:v>
      </x:c>
      <x:c r="F35" s="11" t="n">
        <x:v>53</x:v>
      </x:c>
      <x:c r="G35" s="11" t="n">
        <x:v>31</x:v>
      </x:c>
      <x:c r="H35" s="20" t="n">
        <x:f>SQRT((D35-F35)^2+(E35-G35)^2)</x:f>
        <x:v>13.341664064126334</x:v>
      </x:c>
      <x:c r="I35" s="11" t="n">
        <x:v>3</x:v>
      </x:c>
      <x:c r="J35" s="11" t="n">
        <x:v>5</x:v>
      </x:c>
      <x:c r="K35" s="11" t="n">
        <x:v>8</x:v>
      </x:c>
      <x:c r="L35" s="11" t="n">
        <x:f>IF(H35&lt;=I35,1,0)</x:f>
        <x:v>0</x:v>
      </x:c>
      <x:c r="M35" s="11" t="n">
        <x:f>IF(H35&lt;=J35,1,0)</x:f>
        <x:v>0</x:v>
      </x:c>
      <x:c r="N35" s="11" t="n">
        <x:f>IF(H35&lt;=K35,1,0)</x:f>
        <x:v>0</x:v>
      </x:c>
      <x:c r="O35" s="11" t="n">
        <x:v>0</x:v>
      </x:c>
      <x:c r="P35" s="11" t="str">
        <x:v>합성 파생</x:v>
      </x:c>
      <x:c r="Q35" s="11" t="str">
        <x:v>평면 직선거리만 반영; 벽·높이·공조·가스 물성 미반영</x:v>
      </x:c>
    </x:row>
    <x:row r="36">
      <x:c r="A36" s="11" t="str">
        <x:v>C03</x:v>
      </x:c>
      <x:c r="B36" s="11" t="str">
        <x:v>Z11</x:v>
      </x:c>
      <x:c r="C36" s="11" t="str">
        <x:v>Z03</x:v>
      </x:c>
      <x:c r="D36" s="11" t="n">
        <x:v>50</x:v>
      </x:c>
      <x:c r="E36" s="11" t="n">
        <x:v>18</x:v>
      </x:c>
      <x:c r="F36" s="11" t="n">
        <x:v>38</x:v>
      </x:c>
      <x:c r="G36" s="11" t="n">
        <x:v>31</x:v>
      </x:c>
      <x:c r="H36" s="20" t="n">
        <x:f>SQRT((D36-F36)^2+(E36-G36)^2)</x:f>
        <x:v>17.69180601295413</x:v>
      </x:c>
      <x:c r="I36" s="11" t="n">
        <x:v>3</x:v>
      </x:c>
      <x:c r="J36" s="11" t="n">
        <x:v>5</x:v>
      </x:c>
      <x:c r="K36" s="11" t="n">
        <x:v>8</x:v>
      </x:c>
      <x:c r="L36" s="11" t="n">
        <x:f>IF(H36&lt;=I36,1,0)</x:f>
        <x:v>0</x:v>
      </x:c>
      <x:c r="M36" s="11" t="n">
        <x:f>IF(H36&lt;=J36,1,0)</x:f>
        <x:v>0</x:v>
      </x:c>
      <x:c r="N36" s="11" t="n">
        <x:f>IF(H36&lt;=K36,1,0)</x:f>
        <x:v>0</x:v>
      </x:c>
      <x:c r="O36" s="11" t="n">
        <x:v>0</x:v>
      </x:c>
      <x:c r="P36" s="11" t="str">
        <x:v>합성 파생</x:v>
      </x:c>
      <x:c r="Q36" s="11" t="str">
        <x:v>평면 직선거리만 반영; 벽·높이·공조·가스 물성 미반영</x:v>
      </x:c>
    </x:row>
    <x:row r="37">
      <x:c r="A37" s="11" t="str">
        <x:v>C03</x:v>
      </x:c>
      <x:c r="B37" s="11" t="str">
        <x:v>Z12</x:v>
      </x:c>
      <x:c r="C37" s="11" t="str">
        <x:v>Z03</x:v>
      </x:c>
      <x:c r="D37" s="11" t="n">
        <x:v>50</x:v>
      </x:c>
      <x:c r="E37" s="11" t="n">
        <x:v>18</x:v>
      </x:c>
      <x:c r="F37" s="11" t="n">
        <x:v>54</x:v>
      </x:c>
      <x:c r="G37" s="11" t="n">
        <x:v>6</x:v>
      </x:c>
      <x:c r="H37" s="20" t="n">
        <x:f>SQRT((D37-F37)^2+(E37-G37)^2)</x:f>
        <x:v>12.649110640673518</x:v>
      </x:c>
      <x:c r="I37" s="11" t="n">
        <x:v>3</x:v>
      </x:c>
      <x:c r="J37" s="11" t="n">
        <x:v>5</x:v>
      </x:c>
      <x:c r="K37" s="11" t="n">
        <x:v>8</x:v>
      </x:c>
      <x:c r="L37" s="11" t="n">
        <x:f>IF(H37&lt;=I37,1,0)</x:f>
        <x:v>0</x:v>
      </x:c>
      <x:c r="M37" s="11" t="n">
        <x:f>IF(H37&lt;=J37,1,0)</x:f>
        <x:v>0</x:v>
      </x:c>
      <x:c r="N37" s="11" t="n">
        <x:f>IF(H37&lt;=K37,1,0)</x:f>
        <x:v>0</x:v>
      </x:c>
      <x:c r="O37" s="11" t="n">
        <x:v>0</x:v>
      </x:c>
      <x:c r="P37" s="11" t="str">
        <x:v>합성 파생</x:v>
      </x:c>
      <x:c r="Q37" s="11" t="str">
        <x:v>평면 직선거리만 반영; 벽·높이·공조·가스 물성 미반영</x:v>
      </x:c>
    </x:row>
    <x:row r="38">
      <x:c r="A38" s="11" t="str">
        <x:v>C04</x:v>
      </x:c>
      <x:c r="B38" s="11" t="str">
        <x:v>Z01</x:v>
      </x:c>
      <x:c r="C38" s="11" t="str">
        <x:v>Z04</x:v>
      </x:c>
      <x:c r="D38" s="11" t="n">
        <x:v>19</x:v>
      </x:c>
      <x:c r="E38" s="11" t="n">
        <x:v>6</x:v>
      </x:c>
      <x:c r="F38" s="11" t="n">
        <x:v>11</x:v>
      </x:c>
      <x:c r="G38" s="11" t="n">
        <x:v>18</x:v>
      </x:c>
      <x:c r="H38" s="20" t="n">
        <x:f>SQRT((D38-F38)^2+(E38-G38)^2)</x:f>
        <x:v>14.422205101855956</x:v>
      </x:c>
      <x:c r="I38" s="11" t="n">
        <x:v>3</x:v>
      </x:c>
      <x:c r="J38" s="11" t="n">
        <x:v>5</x:v>
      </x:c>
      <x:c r="K38" s="11" t="n">
        <x:v>8</x:v>
      </x:c>
      <x:c r="L38" s="11" t="n">
        <x:f>IF(H38&lt;=I38,1,0)</x:f>
        <x:v>0</x:v>
      </x:c>
      <x:c r="M38" s="11" t="n">
        <x:f>IF(H38&lt;=J38,1,0)</x:f>
        <x:v>0</x:v>
      </x:c>
      <x:c r="N38" s="11" t="n">
        <x:f>IF(H38&lt;=K38,1,0)</x:f>
        <x:v>0</x:v>
      </x:c>
      <x:c r="O38" s="11" t="n">
        <x:v>0</x:v>
      </x:c>
      <x:c r="P38" s="11" t="str">
        <x:v>합성 파생</x:v>
      </x:c>
      <x:c r="Q38" s="11" t="str">
        <x:v>평면 직선거리만 반영; 벽·높이·공조·가스 물성 미반영</x:v>
      </x:c>
    </x:row>
    <x:row r="39">
      <x:c r="A39" s="11" t="str">
        <x:v>C04</x:v>
      </x:c>
      <x:c r="B39" s="11" t="str">
        <x:v>Z02</x:v>
      </x:c>
      <x:c r="C39" s="11" t="str">
        <x:v>Z04</x:v>
      </x:c>
      <x:c r="D39" s="11" t="n">
        <x:v>19</x:v>
      </x:c>
      <x:c r="E39" s="11" t="n">
        <x:v>6</x:v>
      </x:c>
      <x:c r="F39" s="11" t="n">
        <x:v>31</x:v>
      </x:c>
      <x:c r="G39" s="11" t="n">
        <x:v>18</x:v>
      </x:c>
      <x:c r="H39" s="20" t="n">
        <x:f>SQRT((D39-F39)^2+(E39-G39)^2)</x:f>
        <x:v>16.97056274847714</x:v>
      </x:c>
      <x:c r="I39" s="11" t="n">
        <x:v>3</x:v>
      </x:c>
      <x:c r="J39" s="11" t="n">
        <x:v>5</x:v>
      </x:c>
      <x:c r="K39" s="11" t="n">
        <x:v>8</x:v>
      </x:c>
      <x:c r="L39" s="11" t="n">
        <x:f>IF(H39&lt;=I39,1,0)</x:f>
        <x:v>0</x:v>
      </x:c>
      <x:c r="M39" s="11" t="n">
        <x:f>IF(H39&lt;=J39,1,0)</x:f>
        <x:v>0</x:v>
      </x:c>
      <x:c r="N39" s="11" t="n">
        <x:f>IF(H39&lt;=K39,1,0)</x:f>
        <x:v>0</x:v>
      </x:c>
      <x:c r="O39" s="11" t="n">
        <x:v>0</x:v>
      </x:c>
      <x:c r="P39" s="11" t="str">
        <x:v>합성 파생</x:v>
      </x:c>
      <x:c r="Q39" s="11" t="str">
        <x:v>평면 직선거리만 반영; 벽·높이·공조·가스 물성 미반영</x:v>
      </x:c>
    </x:row>
    <x:row r="40">
      <x:c r="A40" s="11" t="str">
        <x:v>C04</x:v>
      </x:c>
      <x:c r="B40" s="11" t="str">
        <x:v>Z03</x:v>
      </x:c>
      <x:c r="C40" s="11" t="str">
        <x:v>Z04</x:v>
      </x:c>
      <x:c r="D40" s="11" t="n">
        <x:v>19</x:v>
      </x:c>
      <x:c r="E40" s="11" t="n">
        <x:v>6</x:v>
      </x:c>
      <x:c r="F40" s="11" t="n">
        <x:v>50</x:v>
      </x:c>
      <x:c r="G40" s="11" t="n">
        <x:v>18</x:v>
      </x:c>
      <x:c r="H40" s="20" t="n">
        <x:f>SQRT((D40-F40)^2+(E40-G40)^2)</x:f>
        <x:v>33.24154027718932</x:v>
      </x:c>
      <x:c r="I40" s="11" t="n">
        <x:v>3</x:v>
      </x:c>
      <x:c r="J40" s="11" t="n">
        <x:v>5</x:v>
      </x:c>
      <x:c r="K40" s="11" t="n">
        <x:v>8</x:v>
      </x:c>
      <x:c r="L40" s="11" t="n">
        <x:f>IF(H40&lt;=I40,1,0)</x:f>
        <x:v>0</x:v>
      </x:c>
      <x:c r="M40" s="11" t="n">
        <x:f>IF(H40&lt;=J40,1,0)</x:f>
        <x:v>0</x:v>
      </x:c>
      <x:c r="N40" s="11" t="n">
        <x:f>IF(H40&lt;=K40,1,0)</x:f>
        <x:v>0</x:v>
      </x:c>
      <x:c r="O40" s="11" t="n">
        <x:v>0</x:v>
      </x:c>
      <x:c r="P40" s="11" t="str">
        <x:v>합성 파생</x:v>
      </x:c>
      <x:c r="Q40" s="11" t="str">
        <x:v>평면 직선거리만 반영; 벽·높이·공조·가스 물성 미반영</x:v>
      </x:c>
    </x:row>
    <x:row r="41">
      <x:c r="A41" s="11" t="str">
        <x:v>C04</x:v>
      </x:c>
      <x:c r="B41" s="11" t="str">
        <x:v>Z04</x:v>
      </x:c>
      <x:c r="C41" s="11" t="str">
        <x:v>Z04</x:v>
      </x:c>
      <x:c r="D41" s="11" t="n">
        <x:v>19</x:v>
      </x:c>
      <x:c r="E41" s="11" t="n">
        <x:v>6</x:v>
      </x:c>
      <x:c r="F41" s="11" t="n">
        <x:v>19</x:v>
      </x:c>
      <x:c r="G41" s="11" t="n">
        <x:v>6</x:v>
      </x:c>
      <x:c r="H41" s="20" t="n">
        <x:f>SQRT((D41-F41)^2+(E41-G41)^2)</x:f>
        <x:v>0</x:v>
      </x:c>
      <x:c r="I41" s="11" t="n">
        <x:v>3</x:v>
      </x:c>
      <x:c r="J41" s="11" t="n">
        <x:v>5</x:v>
      </x:c>
      <x:c r="K41" s="11" t="n">
        <x:v>8</x:v>
      </x:c>
      <x:c r="L41" s="11" t="n">
        <x:f>IF(H41&lt;=I41,1,0)</x:f>
        <x:v>1</x:v>
      </x:c>
      <x:c r="M41" s="11" t="n">
        <x:f>IF(H41&lt;=J41,1,0)</x:f>
        <x:v>1</x:v>
      </x:c>
      <x:c r="N41" s="11" t="n">
        <x:f>IF(H41&lt;=K41,1,0)</x:f>
        <x:v>1</x:v>
      </x:c>
      <x:c r="O41" s="11" t="n">
        <x:v>1</x:v>
      </x:c>
      <x:c r="P41" s="11" t="str">
        <x:v>합성 파생</x:v>
      </x:c>
      <x:c r="Q41" s="11" t="str">
        <x:v>평면 직선거리만 반영; 벽·높이·공조·가스 물성 미반영</x:v>
      </x:c>
    </x:row>
    <x:row r="42">
      <x:c r="A42" s="11" t="str">
        <x:v>C04</x:v>
      </x:c>
      <x:c r="B42" s="11" t="str">
        <x:v>Z05</x:v>
      </x:c>
      <x:c r="C42" s="11" t="str">
        <x:v>Z04</x:v>
      </x:c>
      <x:c r="D42" s="11" t="n">
        <x:v>19</x:v>
      </x:c>
      <x:c r="E42" s="11" t="n">
        <x:v>6</x:v>
      </x:c>
      <x:c r="F42" s="11" t="n">
        <x:v>7</x:v>
      </x:c>
      <x:c r="G42" s="11" t="n">
        <x:v>6</x:v>
      </x:c>
      <x:c r="H42" s="20" t="n">
        <x:f>SQRT((D42-F42)^2+(E42-G42)^2)</x:f>
        <x:v>12</x:v>
      </x:c>
      <x:c r="I42" s="11" t="n">
        <x:v>3</x:v>
      </x:c>
      <x:c r="J42" s="11" t="n">
        <x:v>5</x:v>
      </x:c>
      <x:c r="K42" s="11" t="n">
        <x:v>8</x:v>
      </x:c>
      <x:c r="L42" s="11" t="n">
        <x:f>IF(H42&lt;=I42,1,0)</x:f>
        <x:v>0</x:v>
      </x:c>
      <x:c r="M42" s="11" t="n">
        <x:f>IF(H42&lt;=J42,1,0)</x:f>
        <x:v>0</x:v>
      </x:c>
      <x:c r="N42" s="11" t="n">
        <x:f>IF(H42&lt;=K42,1,0)</x:f>
        <x:v>0</x:v>
      </x:c>
      <x:c r="O42" s="11" t="n">
        <x:v>0</x:v>
      </x:c>
      <x:c r="P42" s="11" t="str">
        <x:v>합성 파생</x:v>
      </x:c>
      <x:c r="Q42" s="11" t="str">
        <x:v>평면 직선거리만 반영; 벽·높이·공조·가스 물성 미반영</x:v>
      </x:c>
    </x:row>
    <x:row r="43">
      <x:c r="A43" s="11" t="str">
        <x:v>C04</x:v>
      </x:c>
      <x:c r="B43" s="11" t="str">
        <x:v>Z06</x:v>
      </x:c>
      <x:c r="C43" s="11" t="str">
        <x:v>Z04</x:v>
      </x:c>
      <x:c r="D43" s="11" t="n">
        <x:v>19</x:v>
      </x:c>
      <x:c r="E43" s="11" t="n">
        <x:v>6</x:v>
      </x:c>
      <x:c r="F43" s="11" t="n">
        <x:v>8</x:v>
      </x:c>
      <x:c r="G43" s="11" t="n">
        <x:v>31</x:v>
      </x:c>
      <x:c r="H43" s="20" t="n">
        <x:f>SQRT((D43-F43)^2+(E43-G43)^2)</x:f>
        <x:v>27.313000567495326</x:v>
      </x:c>
      <x:c r="I43" s="11" t="n">
        <x:v>3</x:v>
      </x:c>
      <x:c r="J43" s="11" t="n">
        <x:v>5</x:v>
      </x:c>
      <x:c r="K43" s="11" t="n">
        <x:v>8</x:v>
      </x:c>
      <x:c r="L43" s="11" t="n">
        <x:f>IF(H43&lt;=I43,1,0)</x:f>
        <x:v>0</x:v>
      </x:c>
      <x:c r="M43" s="11" t="n">
        <x:f>IF(H43&lt;=J43,1,0)</x:f>
        <x:v>0</x:v>
      </x:c>
      <x:c r="N43" s="11" t="n">
        <x:f>IF(H43&lt;=K43,1,0)</x:f>
        <x:v>0</x:v>
      </x:c>
      <x:c r="O43" s="11" t="n">
        <x:v>0</x:v>
      </x:c>
      <x:c r="P43" s="11" t="str">
        <x:v>합성 파생</x:v>
      </x:c>
      <x:c r="Q43" s="11" t="str">
        <x:v>평면 직선거리만 반영; 벽·높이·공조·가스 물성 미반영</x:v>
      </x:c>
    </x:row>
    <x:row r="44">
      <x:c r="A44" s="11" t="str">
        <x:v>C04</x:v>
      </x:c>
      <x:c r="B44" s="11" t="str">
        <x:v>Z07</x:v>
      </x:c>
      <x:c r="C44" s="11" t="str">
        <x:v>Z04</x:v>
      </x:c>
      <x:c r="D44" s="11" t="n">
        <x:v>19</x:v>
      </x:c>
      <x:c r="E44" s="11" t="n">
        <x:v>6</x:v>
      </x:c>
      <x:c r="F44" s="11" t="n">
        <x:v>22</x:v>
      </x:c>
      <x:c r="G44" s="11" t="n">
        <x:v>31</x:v>
      </x:c>
      <x:c r="H44" s="20" t="n">
        <x:f>SQRT((D44-F44)^2+(E44-G44)^2)</x:f>
        <x:v>25.179356624028344</x:v>
      </x:c>
      <x:c r="I44" s="11" t="n">
        <x:v>3</x:v>
      </x:c>
      <x:c r="J44" s="11" t="n">
        <x:v>5</x:v>
      </x:c>
      <x:c r="K44" s="11" t="n">
        <x:v>8</x:v>
      </x:c>
      <x:c r="L44" s="11" t="n">
        <x:f>IF(H44&lt;=I44,1,0)</x:f>
        <x:v>0</x:v>
      </x:c>
      <x:c r="M44" s="11" t="n">
        <x:f>IF(H44&lt;=J44,1,0)</x:f>
        <x:v>0</x:v>
      </x:c>
      <x:c r="N44" s="11" t="n">
        <x:f>IF(H44&lt;=K44,1,0)</x:f>
        <x:v>0</x:v>
      </x:c>
      <x:c r="O44" s="11" t="n">
        <x:v>0</x:v>
      </x:c>
      <x:c r="P44" s="11" t="str">
        <x:v>합성 파생</x:v>
      </x:c>
      <x:c r="Q44" s="11" t="str">
        <x:v>평면 직선거리만 반영; 벽·높이·공조·가스 물성 미반영</x:v>
      </x:c>
    </x:row>
    <x:row r="45">
      <x:c r="A45" s="11" t="str">
        <x:v>C04</x:v>
      </x:c>
      <x:c r="B45" s="11" t="str">
        <x:v>Z08</x:v>
      </x:c>
      <x:c r="C45" s="11" t="str">
        <x:v>Z04</x:v>
      </x:c>
      <x:c r="D45" s="11" t="n">
        <x:v>19</x:v>
      </x:c>
      <x:c r="E45" s="11" t="n">
        <x:v>6</x:v>
      </x:c>
      <x:c r="F45" s="11" t="n">
        <x:v>44</x:v>
      </x:c>
      <x:c r="G45" s="11" t="n">
        <x:v>6</x:v>
      </x:c>
      <x:c r="H45" s="20" t="n">
        <x:f>SQRT((D45-F45)^2+(E45-G45)^2)</x:f>
        <x:v>25</x:v>
      </x:c>
      <x:c r="I45" s="11" t="n">
        <x:v>3</x:v>
      </x:c>
      <x:c r="J45" s="11" t="n">
        <x:v>5</x:v>
      </x:c>
      <x:c r="K45" s="11" t="n">
        <x:v>8</x:v>
      </x:c>
      <x:c r="L45" s="11" t="n">
        <x:f>IF(H45&lt;=I45,1,0)</x:f>
        <x:v>0</x:v>
      </x:c>
      <x:c r="M45" s="11" t="n">
        <x:f>IF(H45&lt;=J45,1,0)</x:f>
        <x:v>0</x:v>
      </x:c>
      <x:c r="N45" s="11" t="n">
        <x:f>IF(H45&lt;=K45,1,0)</x:f>
        <x:v>0</x:v>
      </x:c>
      <x:c r="O45" s="11" t="n">
        <x:v>0</x:v>
      </x:c>
      <x:c r="P45" s="11" t="str">
        <x:v>합성 파생</x:v>
      </x:c>
      <x:c r="Q45" s="11" t="str">
        <x:v>평면 직선거리만 반영; 벽·높이·공조·가스 물성 미반영</x:v>
      </x:c>
    </x:row>
    <x:row r="46">
      <x:c r="A46" s="11" t="str">
        <x:v>C04</x:v>
      </x:c>
      <x:c r="B46" s="11" t="str">
        <x:v>Z09</x:v>
      </x:c>
      <x:c r="C46" s="11" t="str">
        <x:v>Z04</x:v>
      </x:c>
      <x:c r="D46" s="11" t="n">
        <x:v>19</x:v>
      </x:c>
      <x:c r="E46" s="11" t="n">
        <x:v>6</x:v>
      </x:c>
      <x:c r="F46" s="11" t="n">
        <x:v>32</x:v>
      </x:c>
      <x:c r="G46" s="11" t="n">
        <x:v>6</x:v>
      </x:c>
      <x:c r="H46" s="20" t="n">
        <x:f>SQRT((D46-F46)^2+(E46-G46)^2)</x:f>
        <x:v>13</x:v>
      </x:c>
      <x:c r="I46" s="11" t="n">
        <x:v>3</x:v>
      </x:c>
      <x:c r="J46" s="11" t="n">
        <x:v>5</x:v>
      </x:c>
      <x:c r="K46" s="11" t="n">
        <x:v>8</x:v>
      </x:c>
      <x:c r="L46" s="11" t="n">
        <x:f>IF(H46&lt;=I46,1,0)</x:f>
        <x:v>0</x:v>
      </x:c>
      <x:c r="M46" s="11" t="n">
        <x:f>IF(H46&lt;=J46,1,0)</x:f>
        <x:v>0</x:v>
      </x:c>
      <x:c r="N46" s="11" t="n">
        <x:f>IF(H46&lt;=K46,1,0)</x:f>
        <x:v>0</x:v>
      </x:c>
      <x:c r="O46" s="11" t="n">
        <x:v>0</x:v>
      </x:c>
      <x:c r="P46" s="11" t="str">
        <x:v>합성 파생</x:v>
      </x:c>
      <x:c r="Q46" s="11" t="str">
        <x:v>평면 직선거리만 반영; 벽·높이·공조·가스 물성 미반영</x:v>
      </x:c>
    </x:row>
    <x:row r="47">
      <x:c r="A47" s="11" t="str">
        <x:v>C04</x:v>
      </x:c>
      <x:c r="B47" s="11" t="str">
        <x:v>Z10</x:v>
      </x:c>
      <x:c r="C47" s="11" t="str">
        <x:v>Z04</x:v>
      </x:c>
      <x:c r="D47" s="11" t="n">
        <x:v>19</x:v>
      </x:c>
      <x:c r="E47" s="11" t="n">
        <x:v>6</x:v>
      </x:c>
      <x:c r="F47" s="11" t="n">
        <x:v>53</x:v>
      </x:c>
      <x:c r="G47" s="11" t="n">
        <x:v>31</x:v>
      </x:c>
      <x:c r="H47" s="20" t="n">
        <x:f>SQRT((D47-F47)^2+(E47-G47)^2)</x:f>
        <x:v>42.20189569201838</x:v>
      </x:c>
      <x:c r="I47" s="11" t="n">
        <x:v>3</x:v>
      </x:c>
      <x:c r="J47" s="11" t="n">
        <x:v>5</x:v>
      </x:c>
      <x:c r="K47" s="11" t="n">
        <x:v>8</x:v>
      </x:c>
      <x:c r="L47" s="11" t="n">
        <x:f>IF(H47&lt;=I47,1,0)</x:f>
        <x:v>0</x:v>
      </x:c>
      <x:c r="M47" s="11" t="n">
        <x:f>IF(H47&lt;=J47,1,0)</x:f>
        <x:v>0</x:v>
      </x:c>
      <x:c r="N47" s="11" t="n">
        <x:f>IF(H47&lt;=K47,1,0)</x:f>
        <x:v>0</x:v>
      </x:c>
      <x:c r="O47" s="11" t="n">
        <x:v>0</x:v>
      </x:c>
      <x:c r="P47" s="11" t="str">
        <x:v>합성 파생</x:v>
      </x:c>
      <x:c r="Q47" s="11" t="str">
        <x:v>평면 직선거리만 반영; 벽·높이·공조·가스 물성 미반영</x:v>
      </x:c>
    </x:row>
    <x:row r="48">
      <x:c r="A48" s="11" t="str">
        <x:v>C04</x:v>
      </x:c>
      <x:c r="B48" s="11" t="str">
        <x:v>Z11</x:v>
      </x:c>
      <x:c r="C48" s="11" t="str">
        <x:v>Z04</x:v>
      </x:c>
      <x:c r="D48" s="11" t="n">
        <x:v>19</x:v>
      </x:c>
      <x:c r="E48" s="11" t="n">
        <x:v>6</x:v>
      </x:c>
      <x:c r="F48" s="11" t="n">
        <x:v>38</x:v>
      </x:c>
      <x:c r="G48" s="11" t="n">
        <x:v>31</x:v>
      </x:c>
      <x:c r="H48" s="20" t="n">
        <x:f>SQRT((D48-F48)^2+(E48-G48)^2)</x:f>
        <x:v>31.400636936215164</x:v>
      </x:c>
      <x:c r="I48" s="11" t="n">
        <x:v>3</x:v>
      </x:c>
      <x:c r="J48" s="11" t="n">
        <x:v>5</x:v>
      </x:c>
      <x:c r="K48" s="11" t="n">
        <x:v>8</x:v>
      </x:c>
      <x:c r="L48" s="11" t="n">
        <x:f>IF(H48&lt;=I48,1,0)</x:f>
        <x:v>0</x:v>
      </x:c>
      <x:c r="M48" s="11" t="n">
        <x:f>IF(H48&lt;=J48,1,0)</x:f>
        <x:v>0</x:v>
      </x:c>
      <x:c r="N48" s="11" t="n">
        <x:f>IF(H48&lt;=K48,1,0)</x:f>
        <x:v>0</x:v>
      </x:c>
      <x:c r="O48" s="11" t="n">
        <x:v>0</x:v>
      </x:c>
      <x:c r="P48" s="11" t="str">
        <x:v>합성 파생</x:v>
      </x:c>
      <x:c r="Q48" s="11" t="str">
        <x:v>평면 직선거리만 반영; 벽·높이·공조·가스 물성 미반영</x:v>
      </x:c>
    </x:row>
    <x:row r="49">
      <x:c r="A49" s="11" t="str">
        <x:v>C04</x:v>
      </x:c>
      <x:c r="B49" s="11" t="str">
        <x:v>Z12</x:v>
      </x:c>
      <x:c r="C49" s="11" t="str">
        <x:v>Z04</x:v>
      </x:c>
      <x:c r="D49" s="11" t="n">
        <x:v>19</x:v>
      </x:c>
      <x:c r="E49" s="11" t="n">
        <x:v>6</x:v>
      </x:c>
      <x:c r="F49" s="11" t="n">
        <x:v>54</x:v>
      </x:c>
      <x:c r="G49" s="11" t="n">
        <x:v>6</x:v>
      </x:c>
      <x:c r="H49" s="20" t="n">
        <x:f>SQRT((D49-F49)^2+(E49-G49)^2)</x:f>
        <x:v>35</x:v>
      </x:c>
      <x:c r="I49" s="11" t="n">
        <x:v>3</x:v>
      </x:c>
      <x:c r="J49" s="11" t="n">
        <x:v>5</x:v>
      </x:c>
      <x:c r="K49" s="11" t="n">
        <x:v>8</x:v>
      </x:c>
      <x:c r="L49" s="11" t="n">
        <x:f>IF(H49&lt;=I49,1,0)</x:f>
        <x:v>0</x:v>
      </x:c>
      <x:c r="M49" s="11" t="n">
        <x:f>IF(H49&lt;=J49,1,0)</x:f>
        <x:v>0</x:v>
      </x:c>
      <x:c r="N49" s="11" t="n">
        <x:f>IF(H49&lt;=K49,1,0)</x:f>
        <x:v>0</x:v>
      </x:c>
      <x:c r="O49" s="11" t="n">
        <x:v>0</x:v>
      </x:c>
      <x:c r="P49" s="11" t="str">
        <x:v>합성 파생</x:v>
      </x:c>
      <x:c r="Q49" s="11" t="str">
        <x:v>평면 직선거리만 반영; 벽·높이·공조·가스 물성 미반영</x:v>
      </x:c>
    </x:row>
    <x:row r="50">
      <x:c r="A50" s="11" t="str">
        <x:v>C05</x:v>
      </x:c>
      <x:c r="B50" s="11" t="str">
        <x:v>Z01</x:v>
      </x:c>
      <x:c r="C50" s="11" t="str">
        <x:v>Z05</x:v>
      </x:c>
      <x:c r="D50" s="11" t="n">
        <x:v>7</x:v>
      </x:c>
      <x:c r="E50" s="11" t="n">
        <x:v>6</x:v>
      </x:c>
      <x:c r="F50" s="11" t="n">
        <x:v>11</x:v>
      </x:c>
      <x:c r="G50" s="11" t="n">
        <x:v>18</x:v>
      </x:c>
      <x:c r="H50" s="20" t="n">
        <x:f>SQRT((D50-F50)^2+(E50-G50)^2)</x:f>
        <x:v>12.649110640673518</x:v>
      </x:c>
      <x:c r="I50" s="11" t="n">
        <x:v>3</x:v>
      </x:c>
      <x:c r="J50" s="11" t="n">
        <x:v>5</x:v>
      </x:c>
      <x:c r="K50" s="11" t="n">
        <x:v>8</x:v>
      </x:c>
      <x:c r="L50" s="11" t="n">
        <x:f>IF(H50&lt;=I50,1,0)</x:f>
        <x:v>0</x:v>
      </x:c>
      <x:c r="M50" s="11" t="n">
        <x:f>IF(H50&lt;=J50,1,0)</x:f>
        <x:v>0</x:v>
      </x:c>
      <x:c r="N50" s="11" t="n">
        <x:f>IF(H50&lt;=K50,1,0)</x:f>
        <x:v>0</x:v>
      </x:c>
      <x:c r="O50" s="11" t="n">
        <x:v>0</x:v>
      </x:c>
      <x:c r="P50" s="11" t="str">
        <x:v>합성 파생</x:v>
      </x:c>
      <x:c r="Q50" s="11" t="str">
        <x:v>평면 직선거리만 반영; 벽·높이·공조·가스 물성 미반영</x:v>
      </x:c>
    </x:row>
    <x:row r="51">
      <x:c r="A51" s="11" t="str">
        <x:v>C05</x:v>
      </x:c>
      <x:c r="B51" s="11" t="str">
        <x:v>Z02</x:v>
      </x:c>
      <x:c r="C51" s="11" t="str">
        <x:v>Z05</x:v>
      </x:c>
      <x:c r="D51" s="11" t="n">
        <x:v>7</x:v>
      </x:c>
      <x:c r="E51" s="11" t="n">
        <x:v>6</x:v>
      </x:c>
      <x:c r="F51" s="11" t="n">
        <x:v>31</x:v>
      </x:c>
      <x:c r="G51" s="11" t="n">
        <x:v>18</x:v>
      </x:c>
      <x:c r="H51" s="20" t="n">
        <x:f>SQRT((D51-F51)^2+(E51-G51)^2)</x:f>
        <x:v>26.832815729997478</x:v>
      </x:c>
      <x:c r="I51" s="11" t="n">
        <x:v>3</x:v>
      </x:c>
      <x:c r="J51" s="11" t="n">
        <x:v>5</x:v>
      </x:c>
      <x:c r="K51" s="11" t="n">
        <x:v>8</x:v>
      </x:c>
      <x:c r="L51" s="11" t="n">
        <x:f>IF(H51&lt;=I51,1,0)</x:f>
        <x:v>0</x:v>
      </x:c>
      <x:c r="M51" s="11" t="n">
        <x:f>IF(H51&lt;=J51,1,0)</x:f>
        <x:v>0</x:v>
      </x:c>
      <x:c r="N51" s="11" t="n">
        <x:f>IF(H51&lt;=K51,1,0)</x:f>
        <x:v>0</x:v>
      </x:c>
      <x:c r="O51" s="11" t="n">
        <x:v>0</x:v>
      </x:c>
      <x:c r="P51" s="11" t="str">
        <x:v>합성 파생</x:v>
      </x:c>
      <x:c r="Q51" s="11" t="str">
        <x:v>평면 직선거리만 반영; 벽·높이·공조·가스 물성 미반영</x:v>
      </x:c>
    </x:row>
    <x:row r="52">
      <x:c r="A52" s="11" t="str">
        <x:v>C05</x:v>
      </x:c>
      <x:c r="B52" s="11" t="str">
        <x:v>Z03</x:v>
      </x:c>
      <x:c r="C52" s="11" t="str">
        <x:v>Z05</x:v>
      </x:c>
      <x:c r="D52" s="11" t="n">
        <x:v>7</x:v>
      </x:c>
      <x:c r="E52" s="11" t="n">
        <x:v>6</x:v>
      </x:c>
      <x:c r="F52" s="11" t="n">
        <x:v>50</x:v>
      </x:c>
      <x:c r="G52" s="11" t="n">
        <x:v>18</x:v>
      </x:c>
      <x:c r="H52" s="20" t="n">
        <x:f>SQRT((D52-F52)^2+(E52-G52)^2)</x:f>
        <x:v>44.64302857109943</x:v>
      </x:c>
      <x:c r="I52" s="11" t="n">
        <x:v>3</x:v>
      </x:c>
      <x:c r="J52" s="11" t="n">
        <x:v>5</x:v>
      </x:c>
      <x:c r="K52" s="11" t="n">
        <x:v>8</x:v>
      </x:c>
      <x:c r="L52" s="11" t="n">
        <x:f>IF(H52&lt;=I52,1,0)</x:f>
        <x:v>0</x:v>
      </x:c>
      <x:c r="M52" s="11" t="n">
        <x:f>IF(H52&lt;=J52,1,0)</x:f>
        <x:v>0</x:v>
      </x:c>
      <x:c r="N52" s="11" t="n">
        <x:f>IF(H52&lt;=K52,1,0)</x:f>
        <x:v>0</x:v>
      </x:c>
      <x:c r="O52" s="11" t="n">
        <x:v>0</x:v>
      </x:c>
      <x:c r="P52" s="11" t="str">
        <x:v>합성 파생</x:v>
      </x:c>
      <x:c r="Q52" s="11" t="str">
        <x:v>평면 직선거리만 반영; 벽·높이·공조·가스 물성 미반영</x:v>
      </x:c>
    </x:row>
    <x:row r="53">
      <x:c r="A53" s="11" t="str">
        <x:v>C05</x:v>
      </x:c>
      <x:c r="B53" s="11" t="str">
        <x:v>Z04</x:v>
      </x:c>
      <x:c r="C53" s="11" t="str">
        <x:v>Z05</x:v>
      </x:c>
      <x:c r="D53" s="11" t="n">
        <x:v>7</x:v>
      </x:c>
      <x:c r="E53" s="11" t="n">
        <x:v>6</x:v>
      </x:c>
      <x:c r="F53" s="11" t="n">
        <x:v>19</x:v>
      </x:c>
      <x:c r="G53" s="11" t="n">
        <x:v>6</x:v>
      </x:c>
      <x:c r="H53" s="20" t="n">
        <x:f>SQRT((D53-F53)^2+(E53-G53)^2)</x:f>
        <x:v>12</x:v>
      </x:c>
      <x:c r="I53" s="11" t="n">
        <x:v>3</x:v>
      </x:c>
      <x:c r="J53" s="11" t="n">
        <x:v>5</x:v>
      </x:c>
      <x:c r="K53" s="11" t="n">
        <x:v>8</x:v>
      </x:c>
      <x:c r="L53" s="11" t="n">
        <x:f>IF(H53&lt;=I53,1,0)</x:f>
        <x:v>0</x:v>
      </x:c>
      <x:c r="M53" s="11" t="n">
        <x:f>IF(H53&lt;=J53,1,0)</x:f>
        <x:v>0</x:v>
      </x:c>
      <x:c r="N53" s="11" t="n">
        <x:f>IF(H53&lt;=K53,1,0)</x:f>
        <x:v>0</x:v>
      </x:c>
      <x:c r="O53" s="11" t="n">
        <x:v>0</x:v>
      </x:c>
      <x:c r="P53" s="11" t="str">
        <x:v>합성 파생</x:v>
      </x:c>
      <x:c r="Q53" s="11" t="str">
        <x:v>평면 직선거리만 반영; 벽·높이·공조·가스 물성 미반영</x:v>
      </x:c>
    </x:row>
    <x:row r="54">
      <x:c r="A54" s="11" t="str">
        <x:v>C05</x:v>
      </x:c>
      <x:c r="B54" s="11" t="str">
        <x:v>Z05</x:v>
      </x:c>
      <x:c r="C54" s="11" t="str">
        <x:v>Z05</x:v>
      </x:c>
      <x:c r="D54" s="11" t="n">
        <x:v>7</x:v>
      </x:c>
      <x:c r="E54" s="11" t="n">
        <x:v>6</x:v>
      </x:c>
      <x:c r="F54" s="11" t="n">
        <x:v>7</x:v>
      </x:c>
      <x:c r="G54" s="11" t="n">
        <x:v>6</x:v>
      </x:c>
      <x:c r="H54" s="20" t="n">
        <x:f>SQRT((D54-F54)^2+(E54-G54)^2)</x:f>
        <x:v>0</x:v>
      </x:c>
      <x:c r="I54" s="11" t="n">
        <x:v>3</x:v>
      </x:c>
      <x:c r="J54" s="11" t="n">
        <x:v>5</x:v>
      </x:c>
      <x:c r="K54" s="11" t="n">
        <x:v>8</x:v>
      </x:c>
      <x:c r="L54" s="11" t="n">
        <x:f>IF(H54&lt;=I54,1,0)</x:f>
        <x:v>1</x:v>
      </x:c>
      <x:c r="M54" s="11" t="n">
        <x:f>IF(H54&lt;=J54,1,0)</x:f>
        <x:v>1</x:v>
      </x:c>
      <x:c r="N54" s="11" t="n">
        <x:f>IF(H54&lt;=K54,1,0)</x:f>
        <x:v>1</x:v>
      </x:c>
      <x:c r="O54" s="11" t="n">
        <x:v>1</x:v>
      </x:c>
      <x:c r="P54" s="11" t="str">
        <x:v>합성 파생</x:v>
      </x:c>
      <x:c r="Q54" s="11" t="str">
        <x:v>평면 직선거리만 반영; 벽·높이·공조·가스 물성 미반영</x:v>
      </x:c>
    </x:row>
    <x:row r="55">
      <x:c r="A55" s="11" t="str">
        <x:v>C05</x:v>
      </x:c>
      <x:c r="B55" s="11" t="str">
        <x:v>Z06</x:v>
      </x:c>
      <x:c r="C55" s="11" t="str">
        <x:v>Z05</x:v>
      </x:c>
      <x:c r="D55" s="11" t="n">
        <x:v>7</x:v>
      </x:c>
      <x:c r="E55" s="11" t="n">
        <x:v>6</x:v>
      </x:c>
      <x:c r="F55" s="11" t="n">
        <x:v>8</x:v>
      </x:c>
      <x:c r="G55" s="11" t="n">
        <x:v>31</x:v>
      </x:c>
      <x:c r="H55" s="20" t="n">
        <x:f>SQRT((D55-F55)^2+(E55-G55)^2)</x:f>
        <x:v>25.019992006393608</x:v>
      </x:c>
      <x:c r="I55" s="11" t="n">
        <x:v>3</x:v>
      </x:c>
      <x:c r="J55" s="11" t="n">
        <x:v>5</x:v>
      </x:c>
      <x:c r="K55" s="11" t="n">
        <x:v>8</x:v>
      </x:c>
      <x:c r="L55" s="11" t="n">
        <x:f>IF(H55&lt;=I55,1,0)</x:f>
        <x:v>0</x:v>
      </x:c>
      <x:c r="M55" s="11" t="n">
        <x:f>IF(H55&lt;=J55,1,0)</x:f>
        <x:v>0</x:v>
      </x:c>
      <x:c r="N55" s="11" t="n">
        <x:f>IF(H55&lt;=K55,1,0)</x:f>
        <x:v>0</x:v>
      </x:c>
      <x:c r="O55" s="11" t="n">
        <x:v>0</x:v>
      </x:c>
      <x:c r="P55" s="11" t="str">
        <x:v>합성 파생</x:v>
      </x:c>
      <x:c r="Q55" s="11" t="str">
        <x:v>평면 직선거리만 반영; 벽·높이·공조·가스 물성 미반영</x:v>
      </x:c>
    </x:row>
    <x:row r="56">
      <x:c r="A56" s="11" t="str">
        <x:v>C05</x:v>
      </x:c>
      <x:c r="B56" s="11" t="str">
        <x:v>Z07</x:v>
      </x:c>
      <x:c r="C56" s="11" t="str">
        <x:v>Z05</x:v>
      </x:c>
      <x:c r="D56" s="11" t="n">
        <x:v>7</x:v>
      </x:c>
      <x:c r="E56" s="11" t="n">
        <x:v>6</x:v>
      </x:c>
      <x:c r="F56" s="11" t="n">
        <x:v>22</x:v>
      </x:c>
      <x:c r="G56" s="11" t="n">
        <x:v>31</x:v>
      </x:c>
      <x:c r="H56" s="20" t="n">
        <x:f>SQRT((D56-F56)^2+(E56-G56)^2)</x:f>
        <x:v>29.154759474226502</x:v>
      </x:c>
      <x:c r="I56" s="11" t="n">
        <x:v>3</x:v>
      </x:c>
      <x:c r="J56" s="11" t="n">
        <x:v>5</x:v>
      </x:c>
      <x:c r="K56" s="11" t="n">
        <x:v>8</x:v>
      </x:c>
      <x:c r="L56" s="11" t="n">
        <x:f>IF(H56&lt;=I56,1,0)</x:f>
        <x:v>0</x:v>
      </x:c>
      <x:c r="M56" s="11" t="n">
        <x:f>IF(H56&lt;=J56,1,0)</x:f>
        <x:v>0</x:v>
      </x:c>
      <x:c r="N56" s="11" t="n">
        <x:f>IF(H56&lt;=K56,1,0)</x:f>
        <x:v>0</x:v>
      </x:c>
      <x:c r="O56" s="11" t="n">
        <x:v>0</x:v>
      </x:c>
      <x:c r="P56" s="11" t="str">
        <x:v>합성 파생</x:v>
      </x:c>
      <x:c r="Q56" s="11" t="str">
        <x:v>평면 직선거리만 반영; 벽·높이·공조·가스 물성 미반영</x:v>
      </x:c>
    </x:row>
    <x:row r="57">
      <x:c r="A57" s="11" t="str">
        <x:v>C05</x:v>
      </x:c>
      <x:c r="B57" s="11" t="str">
        <x:v>Z08</x:v>
      </x:c>
      <x:c r="C57" s="11" t="str">
        <x:v>Z05</x:v>
      </x:c>
      <x:c r="D57" s="11" t="n">
        <x:v>7</x:v>
      </x:c>
      <x:c r="E57" s="11" t="n">
        <x:v>6</x:v>
      </x:c>
      <x:c r="F57" s="11" t="n">
        <x:v>44</x:v>
      </x:c>
      <x:c r="G57" s="11" t="n">
        <x:v>6</x:v>
      </x:c>
      <x:c r="H57" s="20" t="n">
        <x:f>SQRT((D57-F57)^2+(E57-G57)^2)</x:f>
        <x:v>37</x:v>
      </x:c>
      <x:c r="I57" s="11" t="n">
        <x:v>3</x:v>
      </x:c>
      <x:c r="J57" s="11" t="n">
        <x:v>5</x:v>
      </x:c>
      <x:c r="K57" s="11" t="n">
        <x:v>8</x:v>
      </x:c>
      <x:c r="L57" s="11" t="n">
        <x:f>IF(H57&lt;=I57,1,0)</x:f>
        <x:v>0</x:v>
      </x:c>
      <x:c r="M57" s="11" t="n">
        <x:f>IF(H57&lt;=J57,1,0)</x:f>
        <x:v>0</x:v>
      </x:c>
      <x:c r="N57" s="11" t="n">
        <x:f>IF(H57&lt;=K57,1,0)</x:f>
        <x:v>0</x:v>
      </x:c>
      <x:c r="O57" s="11" t="n">
        <x:v>0</x:v>
      </x:c>
      <x:c r="P57" s="11" t="str">
        <x:v>합성 파생</x:v>
      </x:c>
      <x:c r="Q57" s="11" t="str">
        <x:v>평면 직선거리만 반영; 벽·높이·공조·가스 물성 미반영</x:v>
      </x:c>
    </x:row>
    <x:row r="58">
      <x:c r="A58" s="11" t="str">
        <x:v>C05</x:v>
      </x:c>
      <x:c r="B58" s="11" t="str">
        <x:v>Z09</x:v>
      </x:c>
      <x:c r="C58" s="11" t="str">
        <x:v>Z05</x:v>
      </x:c>
      <x:c r="D58" s="11" t="n">
        <x:v>7</x:v>
      </x:c>
      <x:c r="E58" s="11" t="n">
        <x:v>6</x:v>
      </x:c>
      <x:c r="F58" s="11" t="n">
        <x:v>32</x:v>
      </x:c>
      <x:c r="G58" s="11" t="n">
        <x:v>6</x:v>
      </x:c>
      <x:c r="H58" s="20" t="n">
        <x:f>SQRT((D58-F58)^2+(E58-G58)^2)</x:f>
        <x:v>25</x:v>
      </x:c>
      <x:c r="I58" s="11" t="n">
        <x:v>3</x:v>
      </x:c>
      <x:c r="J58" s="11" t="n">
        <x:v>5</x:v>
      </x:c>
      <x:c r="K58" s="11" t="n">
        <x:v>8</x:v>
      </x:c>
      <x:c r="L58" s="11" t="n">
        <x:f>IF(H58&lt;=I58,1,0)</x:f>
        <x:v>0</x:v>
      </x:c>
      <x:c r="M58" s="11" t="n">
        <x:f>IF(H58&lt;=J58,1,0)</x:f>
        <x:v>0</x:v>
      </x:c>
      <x:c r="N58" s="11" t="n">
        <x:f>IF(H58&lt;=K58,1,0)</x:f>
        <x:v>0</x:v>
      </x:c>
      <x:c r="O58" s="11" t="n">
        <x:v>0</x:v>
      </x:c>
      <x:c r="P58" s="11" t="str">
        <x:v>합성 파생</x:v>
      </x:c>
      <x:c r="Q58" s="11" t="str">
        <x:v>평면 직선거리만 반영; 벽·높이·공조·가스 물성 미반영</x:v>
      </x:c>
    </x:row>
    <x:row r="59">
      <x:c r="A59" s="11" t="str">
        <x:v>C05</x:v>
      </x:c>
      <x:c r="B59" s="11" t="str">
        <x:v>Z10</x:v>
      </x:c>
      <x:c r="C59" s="11" t="str">
        <x:v>Z05</x:v>
      </x:c>
      <x:c r="D59" s="11" t="n">
        <x:v>7</x:v>
      </x:c>
      <x:c r="E59" s="11" t="n">
        <x:v>6</x:v>
      </x:c>
      <x:c r="F59" s="11" t="n">
        <x:v>53</x:v>
      </x:c>
      <x:c r="G59" s="11" t="n">
        <x:v>31</x:v>
      </x:c>
      <x:c r="H59" s="20" t="n">
        <x:f>SQRT((D59-F59)^2+(E59-G59)^2)</x:f>
        <x:v>52.354560450833695</x:v>
      </x:c>
      <x:c r="I59" s="11" t="n">
        <x:v>3</x:v>
      </x:c>
      <x:c r="J59" s="11" t="n">
        <x:v>5</x:v>
      </x:c>
      <x:c r="K59" s="11" t="n">
        <x:v>8</x:v>
      </x:c>
      <x:c r="L59" s="11" t="n">
        <x:f>IF(H59&lt;=I59,1,0)</x:f>
        <x:v>0</x:v>
      </x:c>
      <x:c r="M59" s="11" t="n">
        <x:f>IF(H59&lt;=J59,1,0)</x:f>
        <x:v>0</x:v>
      </x:c>
      <x:c r="N59" s="11" t="n">
        <x:f>IF(H59&lt;=K59,1,0)</x:f>
        <x:v>0</x:v>
      </x:c>
      <x:c r="O59" s="11" t="n">
        <x:v>0</x:v>
      </x:c>
      <x:c r="P59" s="11" t="str">
        <x:v>합성 파생</x:v>
      </x:c>
      <x:c r="Q59" s="11" t="str">
        <x:v>평면 직선거리만 반영; 벽·높이·공조·가스 물성 미반영</x:v>
      </x:c>
    </x:row>
    <x:row r="60">
      <x:c r="A60" s="11" t="str">
        <x:v>C05</x:v>
      </x:c>
      <x:c r="B60" s="11" t="str">
        <x:v>Z11</x:v>
      </x:c>
      <x:c r="C60" s="11" t="str">
        <x:v>Z05</x:v>
      </x:c>
      <x:c r="D60" s="11" t="n">
        <x:v>7</x:v>
      </x:c>
      <x:c r="E60" s="11" t="n">
        <x:v>6</x:v>
      </x:c>
      <x:c r="F60" s="11" t="n">
        <x:v>38</x:v>
      </x:c>
      <x:c r="G60" s="11" t="n">
        <x:v>31</x:v>
      </x:c>
      <x:c r="H60" s="20" t="n">
        <x:f>SQRT((D60-F60)^2+(E60-G60)^2)</x:f>
        <x:v>39.824615503479755</x:v>
      </x:c>
      <x:c r="I60" s="11" t="n">
        <x:v>3</x:v>
      </x:c>
      <x:c r="J60" s="11" t="n">
        <x:v>5</x:v>
      </x:c>
      <x:c r="K60" s="11" t="n">
        <x:v>8</x:v>
      </x:c>
      <x:c r="L60" s="11" t="n">
        <x:f>IF(H60&lt;=I60,1,0)</x:f>
        <x:v>0</x:v>
      </x:c>
      <x:c r="M60" s="11" t="n">
        <x:f>IF(H60&lt;=J60,1,0)</x:f>
        <x:v>0</x:v>
      </x:c>
      <x:c r="N60" s="11" t="n">
        <x:f>IF(H60&lt;=K60,1,0)</x:f>
        <x:v>0</x:v>
      </x:c>
      <x:c r="O60" s="11" t="n">
        <x:v>0</x:v>
      </x:c>
      <x:c r="P60" s="11" t="str">
        <x:v>합성 파생</x:v>
      </x:c>
      <x:c r="Q60" s="11" t="str">
        <x:v>평면 직선거리만 반영; 벽·높이·공조·가스 물성 미반영</x:v>
      </x:c>
    </x:row>
    <x:row r="61">
      <x:c r="A61" s="11" t="str">
        <x:v>C05</x:v>
      </x:c>
      <x:c r="B61" s="11" t="str">
        <x:v>Z12</x:v>
      </x:c>
      <x:c r="C61" s="11" t="str">
        <x:v>Z05</x:v>
      </x:c>
      <x:c r="D61" s="11" t="n">
        <x:v>7</x:v>
      </x:c>
      <x:c r="E61" s="11" t="n">
        <x:v>6</x:v>
      </x:c>
      <x:c r="F61" s="11" t="n">
        <x:v>54</x:v>
      </x:c>
      <x:c r="G61" s="11" t="n">
        <x:v>6</x:v>
      </x:c>
      <x:c r="H61" s="20" t="n">
        <x:f>SQRT((D61-F61)^2+(E61-G61)^2)</x:f>
        <x:v>47</x:v>
      </x:c>
      <x:c r="I61" s="11" t="n">
        <x:v>3</x:v>
      </x:c>
      <x:c r="J61" s="11" t="n">
        <x:v>5</x:v>
      </x:c>
      <x:c r="K61" s="11" t="n">
        <x:v>8</x:v>
      </x:c>
      <x:c r="L61" s="11" t="n">
        <x:f>IF(H61&lt;=I61,1,0)</x:f>
        <x:v>0</x:v>
      </x:c>
      <x:c r="M61" s="11" t="n">
        <x:f>IF(H61&lt;=J61,1,0)</x:f>
        <x:v>0</x:v>
      </x:c>
      <x:c r="N61" s="11" t="n">
        <x:f>IF(H61&lt;=K61,1,0)</x:f>
        <x:v>0</x:v>
      </x:c>
      <x:c r="O61" s="11" t="n">
        <x:v>0</x:v>
      </x:c>
      <x:c r="P61" s="11" t="str">
        <x:v>합성 파생</x:v>
      </x:c>
      <x:c r="Q61" s="11" t="str">
        <x:v>평면 직선거리만 반영; 벽·높이·공조·가스 물성 미반영</x:v>
      </x:c>
    </x:row>
    <x:row r="62">
      <x:c r="A62" s="11" t="str">
        <x:v>C06</x:v>
      </x:c>
      <x:c r="B62" s="11" t="str">
        <x:v>Z01</x:v>
      </x:c>
      <x:c r="C62" s="11" t="str">
        <x:v>Z06</x:v>
      </x:c>
      <x:c r="D62" s="11" t="n">
        <x:v>8</x:v>
      </x:c>
      <x:c r="E62" s="11" t="n">
        <x:v>31</x:v>
      </x:c>
      <x:c r="F62" s="11" t="n">
        <x:v>11</x:v>
      </x:c>
      <x:c r="G62" s="11" t="n">
        <x:v>18</x:v>
      </x:c>
      <x:c r="H62" s="20" t="n">
        <x:f>SQRT((D62-F62)^2+(E62-G62)^2)</x:f>
        <x:v>13.341664064126334</x:v>
      </x:c>
      <x:c r="I62" s="11" t="n">
        <x:v>3</x:v>
      </x:c>
      <x:c r="J62" s="11" t="n">
        <x:v>5</x:v>
      </x:c>
      <x:c r="K62" s="11" t="n">
        <x:v>8</x:v>
      </x:c>
      <x:c r="L62" s="11" t="n">
        <x:f>IF(H62&lt;=I62,1,0)</x:f>
        <x:v>0</x:v>
      </x:c>
      <x:c r="M62" s="11" t="n">
        <x:f>IF(H62&lt;=J62,1,0)</x:f>
        <x:v>0</x:v>
      </x:c>
      <x:c r="N62" s="11" t="n">
        <x:f>IF(H62&lt;=K62,1,0)</x:f>
        <x:v>0</x:v>
      </x:c>
      <x:c r="O62" s="11" t="n">
        <x:v>0</x:v>
      </x:c>
      <x:c r="P62" s="11" t="str">
        <x:v>합성 파생</x:v>
      </x:c>
      <x:c r="Q62" s="11" t="str">
        <x:v>평면 직선거리만 반영; 벽·높이·공조·가스 물성 미반영</x:v>
      </x:c>
    </x:row>
    <x:row r="63">
      <x:c r="A63" s="11" t="str">
        <x:v>C06</x:v>
      </x:c>
      <x:c r="B63" s="11" t="str">
        <x:v>Z02</x:v>
      </x:c>
      <x:c r="C63" s="11" t="str">
        <x:v>Z06</x:v>
      </x:c>
      <x:c r="D63" s="11" t="n">
        <x:v>8</x:v>
      </x:c>
      <x:c r="E63" s="11" t="n">
        <x:v>31</x:v>
      </x:c>
      <x:c r="F63" s="11" t="n">
        <x:v>31</x:v>
      </x:c>
      <x:c r="G63" s="11" t="n">
        <x:v>18</x:v>
      </x:c>
      <x:c r="H63" s="20" t="n">
        <x:f>SQRT((D63-F63)^2+(E63-G63)^2)</x:f>
        <x:v>26.419689627245813</x:v>
      </x:c>
      <x:c r="I63" s="11" t="n">
        <x:v>3</x:v>
      </x:c>
      <x:c r="J63" s="11" t="n">
        <x:v>5</x:v>
      </x:c>
      <x:c r="K63" s="11" t="n">
        <x:v>8</x:v>
      </x:c>
      <x:c r="L63" s="11" t="n">
        <x:f>IF(H63&lt;=I63,1,0)</x:f>
        <x:v>0</x:v>
      </x:c>
      <x:c r="M63" s="11" t="n">
        <x:f>IF(H63&lt;=J63,1,0)</x:f>
        <x:v>0</x:v>
      </x:c>
      <x:c r="N63" s="11" t="n">
        <x:f>IF(H63&lt;=K63,1,0)</x:f>
        <x:v>0</x:v>
      </x:c>
      <x:c r="O63" s="11" t="n">
        <x:v>0</x:v>
      </x:c>
      <x:c r="P63" s="11" t="str">
        <x:v>합성 파생</x:v>
      </x:c>
      <x:c r="Q63" s="11" t="str">
        <x:v>평면 직선거리만 반영; 벽·높이·공조·가스 물성 미반영</x:v>
      </x:c>
    </x:row>
    <x:row r="64">
      <x:c r="A64" s="11" t="str">
        <x:v>C06</x:v>
      </x:c>
      <x:c r="B64" s="11" t="str">
        <x:v>Z03</x:v>
      </x:c>
      <x:c r="C64" s="11" t="str">
        <x:v>Z06</x:v>
      </x:c>
      <x:c r="D64" s="11" t="n">
        <x:v>8</x:v>
      </x:c>
      <x:c r="E64" s="11" t="n">
        <x:v>31</x:v>
      </x:c>
      <x:c r="F64" s="11" t="n">
        <x:v>50</x:v>
      </x:c>
      <x:c r="G64" s="11" t="n">
        <x:v>18</x:v>
      </x:c>
      <x:c r="H64" s="20" t="n">
        <x:f>SQRT((D64-F64)^2+(E64-G64)^2)</x:f>
        <x:v>43.965895873961216</x:v>
      </x:c>
      <x:c r="I64" s="11" t="n">
        <x:v>3</x:v>
      </x:c>
      <x:c r="J64" s="11" t="n">
        <x:v>5</x:v>
      </x:c>
      <x:c r="K64" s="11" t="n">
        <x:v>8</x:v>
      </x:c>
      <x:c r="L64" s="11" t="n">
        <x:f>IF(H64&lt;=I64,1,0)</x:f>
        <x:v>0</x:v>
      </x:c>
      <x:c r="M64" s="11" t="n">
        <x:f>IF(H64&lt;=J64,1,0)</x:f>
        <x:v>0</x:v>
      </x:c>
      <x:c r="N64" s="11" t="n">
        <x:f>IF(H64&lt;=K64,1,0)</x:f>
        <x:v>0</x:v>
      </x:c>
      <x:c r="O64" s="11" t="n">
        <x:v>0</x:v>
      </x:c>
      <x:c r="P64" s="11" t="str">
        <x:v>합성 파생</x:v>
      </x:c>
      <x:c r="Q64" s="11" t="str">
        <x:v>평면 직선거리만 반영; 벽·높이·공조·가스 물성 미반영</x:v>
      </x:c>
    </x:row>
    <x:row r="65">
      <x:c r="A65" s="11" t="str">
        <x:v>C06</x:v>
      </x:c>
      <x:c r="B65" s="11" t="str">
        <x:v>Z04</x:v>
      </x:c>
      <x:c r="C65" s="11" t="str">
        <x:v>Z06</x:v>
      </x:c>
      <x:c r="D65" s="11" t="n">
        <x:v>8</x:v>
      </x:c>
      <x:c r="E65" s="11" t="n">
        <x:v>31</x:v>
      </x:c>
      <x:c r="F65" s="11" t="n">
        <x:v>19</x:v>
      </x:c>
      <x:c r="G65" s="11" t="n">
        <x:v>6</x:v>
      </x:c>
      <x:c r="H65" s="20" t="n">
        <x:f>SQRT((D65-F65)^2+(E65-G65)^2)</x:f>
        <x:v>27.313000567495326</x:v>
      </x:c>
      <x:c r="I65" s="11" t="n">
        <x:v>3</x:v>
      </x:c>
      <x:c r="J65" s="11" t="n">
        <x:v>5</x:v>
      </x:c>
      <x:c r="K65" s="11" t="n">
        <x:v>8</x:v>
      </x:c>
      <x:c r="L65" s="11" t="n">
        <x:f>IF(H65&lt;=I65,1,0)</x:f>
        <x:v>0</x:v>
      </x:c>
      <x:c r="M65" s="11" t="n">
        <x:f>IF(H65&lt;=J65,1,0)</x:f>
        <x:v>0</x:v>
      </x:c>
      <x:c r="N65" s="11" t="n">
        <x:f>IF(H65&lt;=K65,1,0)</x:f>
        <x:v>0</x:v>
      </x:c>
      <x:c r="O65" s="11" t="n">
        <x:v>0</x:v>
      </x:c>
      <x:c r="P65" s="11" t="str">
        <x:v>합성 파생</x:v>
      </x:c>
      <x:c r="Q65" s="11" t="str">
        <x:v>평면 직선거리만 반영; 벽·높이·공조·가스 물성 미반영</x:v>
      </x:c>
    </x:row>
    <x:row r="66">
      <x:c r="A66" s="11" t="str">
        <x:v>C06</x:v>
      </x:c>
      <x:c r="B66" s="11" t="str">
        <x:v>Z05</x:v>
      </x:c>
      <x:c r="C66" s="11" t="str">
        <x:v>Z06</x:v>
      </x:c>
      <x:c r="D66" s="11" t="n">
        <x:v>8</x:v>
      </x:c>
      <x:c r="E66" s="11" t="n">
        <x:v>31</x:v>
      </x:c>
      <x:c r="F66" s="11" t="n">
        <x:v>7</x:v>
      </x:c>
      <x:c r="G66" s="11" t="n">
        <x:v>6</x:v>
      </x:c>
      <x:c r="H66" s="20" t="n">
        <x:f>SQRT((D66-F66)^2+(E66-G66)^2)</x:f>
        <x:v>25.019992006393608</x:v>
      </x:c>
      <x:c r="I66" s="11" t="n">
        <x:v>3</x:v>
      </x:c>
      <x:c r="J66" s="11" t="n">
        <x:v>5</x:v>
      </x:c>
      <x:c r="K66" s="11" t="n">
        <x:v>8</x:v>
      </x:c>
      <x:c r="L66" s="11" t="n">
        <x:f>IF(H66&lt;=I66,1,0)</x:f>
        <x:v>0</x:v>
      </x:c>
      <x:c r="M66" s="11" t="n">
        <x:f>IF(H66&lt;=J66,1,0)</x:f>
        <x:v>0</x:v>
      </x:c>
      <x:c r="N66" s="11" t="n">
        <x:f>IF(H66&lt;=K66,1,0)</x:f>
        <x:v>0</x:v>
      </x:c>
      <x:c r="O66" s="11" t="n">
        <x:v>0</x:v>
      </x:c>
      <x:c r="P66" s="11" t="str">
        <x:v>합성 파생</x:v>
      </x:c>
      <x:c r="Q66" s="11" t="str">
        <x:v>평면 직선거리만 반영; 벽·높이·공조·가스 물성 미반영</x:v>
      </x:c>
    </x:row>
    <x:row r="67">
      <x:c r="A67" s="11" t="str">
        <x:v>C06</x:v>
      </x:c>
      <x:c r="B67" s="11" t="str">
        <x:v>Z06</x:v>
      </x:c>
      <x:c r="C67" s="11" t="str">
        <x:v>Z06</x:v>
      </x:c>
      <x:c r="D67" s="11" t="n">
        <x:v>8</x:v>
      </x:c>
      <x:c r="E67" s="11" t="n">
        <x:v>31</x:v>
      </x:c>
      <x:c r="F67" s="11" t="n">
        <x:v>8</x:v>
      </x:c>
      <x:c r="G67" s="11" t="n">
        <x:v>31</x:v>
      </x:c>
      <x:c r="H67" s="20" t="n">
        <x:f>SQRT((D67-F67)^2+(E67-G67)^2)</x:f>
        <x:v>0</x:v>
      </x:c>
      <x:c r="I67" s="11" t="n">
        <x:v>3</x:v>
      </x:c>
      <x:c r="J67" s="11" t="n">
        <x:v>5</x:v>
      </x:c>
      <x:c r="K67" s="11" t="n">
        <x:v>8</x:v>
      </x:c>
      <x:c r="L67" s="11" t="n">
        <x:f>IF(H67&lt;=I67,1,0)</x:f>
        <x:v>1</x:v>
      </x:c>
      <x:c r="M67" s="11" t="n">
        <x:f>IF(H67&lt;=J67,1,0)</x:f>
        <x:v>1</x:v>
      </x:c>
      <x:c r="N67" s="11" t="n">
        <x:f>IF(H67&lt;=K67,1,0)</x:f>
        <x:v>1</x:v>
      </x:c>
      <x:c r="O67" s="11" t="n">
        <x:v>1</x:v>
      </x:c>
      <x:c r="P67" s="11" t="str">
        <x:v>합성 파생</x:v>
      </x:c>
      <x:c r="Q67" s="11" t="str">
        <x:v>평면 직선거리만 반영; 벽·높이·공조·가스 물성 미반영</x:v>
      </x:c>
    </x:row>
    <x:row r="68">
      <x:c r="A68" s="11" t="str">
        <x:v>C06</x:v>
      </x:c>
      <x:c r="B68" s="11" t="str">
        <x:v>Z07</x:v>
      </x:c>
      <x:c r="C68" s="11" t="str">
        <x:v>Z06</x:v>
      </x:c>
      <x:c r="D68" s="11" t="n">
        <x:v>8</x:v>
      </x:c>
      <x:c r="E68" s="11" t="n">
        <x:v>31</x:v>
      </x:c>
      <x:c r="F68" s="11" t="n">
        <x:v>22</x:v>
      </x:c>
      <x:c r="G68" s="11" t="n">
        <x:v>31</x:v>
      </x:c>
      <x:c r="H68" s="20" t="n">
        <x:f>SQRT((D68-F68)^2+(E68-G68)^2)</x:f>
        <x:v>14</x:v>
      </x:c>
      <x:c r="I68" s="11" t="n">
        <x:v>3</x:v>
      </x:c>
      <x:c r="J68" s="11" t="n">
        <x:v>5</x:v>
      </x:c>
      <x:c r="K68" s="11" t="n">
        <x:v>8</x:v>
      </x:c>
      <x:c r="L68" s="11" t="n">
        <x:f>IF(H68&lt;=I68,1,0)</x:f>
        <x:v>0</x:v>
      </x:c>
      <x:c r="M68" s="11" t="n">
        <x:f>IF(H68&lt;=J68,1,0)</x:f>
        <x:v>0</x:v>
      </x:c>
      <x:c r="N68" s="11" t="n">
        <x:f>IF(H68&lt;=K68,1,0)</x:f>
        <x:v>0</x:v>
      </x:c>
      <x:c r="O68" s="11" t="n">
        <x:v>0</x:v>
      </x:c>
      <x:c r="P68" s="11" t="str">
        <x:v>합성 파생</x:v>
      </x:c>
      <x:c r="Q68" s="11" t="str">
        <x:v>평면 직선거리만 반영; 벽·높이·공조·가스 물성 미반영</x:v>
      </x:c>
    </x:row>
    <x:row r="69">
      <x:c r="A69" s="11" t="str">
        <x:v>C06</x:v>
      </x:c>
      <x:c r="B69" s="11" t="str">
        <x:v>Z08</x:v>
      </x:c>
      <x:c r="C69" s="11" t="str">
        <x:v>Z06</x:v>
      </x:c>
      <x:c r="D69" s="11" t="n">
        <x:v>8</x:v>
      </x:c>
      <x:c r="E69" s="11" t="n">
        <x:v>31</x:v>
      </x:c>
      <x:c r="F69" s="11" t="n">
        <x:v>44</x:v>
      </x:c>
      <x:c r="G69" s="11" t="n">
        <x:v>6</x:v>
      </x:c>
      <x:c r="H69" s="20" t="n">
        <x:f>SQRT((D69-F69)^2+(E69-G69)^2)</x:f>
        <x:v>43.829214001622255</x:v>
      </x:c>
      <x:c r="I69" s="11" t="n">
        <x:v>3</x:v>
      </x:c>
      <x:c r="J69" s="11" t="n">
        <x:v>5</x:v>
      </x:c>
      <x:c r="K69" s="11" t="n">
        <x:v>8</x:v>
      </x:c>
      <x:c r="L69" s="11" t="n">
        <x:f>IF(H69&lt;=I69,1,0)</x:f>
        <x:v>0</x:v>
      </x:c>
      <x:c r="M69" s="11" t="n">
        <x:f>IF(H69&lt;=J69,1,0)</x:f>
        <x:v>0</x:v>
      </x:c>
      <x:c r="N69" s="11" t="n">
        <x:f>IF(H69&lt;=K69,1,0)</x:f>
        <x:v>0</x:v>
      </x:c>
      <x:c r="O69" s="11" t="n">
        <x:v>0</x:v>
      </x:c>
      <x:c r="P69" s="11" t="str">
        <x:v>합성 파생</x:v>
      </x:c>
      <x:c r="Q69" s="11" t="str">
        <x:v>평면 직선거리만 반영; 벽·높이·공조·가스 물성 미반영</x:v>
      </x:c>
    </x:row>
    <x:row r="70">
      <x:c r="A70" s="11" t="str">
        <x:v>C06</x:v>
      </x:c>
      <x:c r="B70" s="11" t="str">
        <x:v>Z09</x:v>
      </x:c>
      <x:c r="C70" s="11" t="str">
        <x:v>Z06</x:v>
      </x:c>
      <x:c r="D70" s="11" t="n">
        <x:v>8</x:v>
      </x:c>
      <x:c r="E70" s="11" t="n">
        <x:v>31</x:v>
      </x:c>
      <x:c r="F70" s="11" t="n">
        <x:v>32</x:v>
      </x:c>
      <x:c r="G70" s="11" t="n">
        <x:v>6</x:v>
      </x:c>
      <x:c r="H70" s="20" t="n">
        <x:f>SQRT((D70-F70)^2+(E70-G70)^2)</x:f>
        <x:v>34.655446902326915</x:v>
      </x:c>
      <x:c r="I70" s="11" t="n">
        <x:v>3</x:v>
      </x:c>
      <x:c r="J70" s="11" t="n">
        <x:v>5</x:v>
      </x:c>
      <x:c r="K70" s="11" t="n">
        <x:v>8</x:v>
      </x:c>
      <x:c r="L70" s="11" t="n">
        <x:f>IF(H70&lt;=I70,1,0)</x:f>
        <x:v>0</x:v>
      </x:c>
      <x:c r="M70" s="11" t="n">
        <x:f>IF(H70&lt;=J70,1,0)</x:f>
        <x:v>0</x:v>
      </x:c>
      <x:c r="N70" s="11" t="n">
        <x:f>IF(H70&lt;=K70,1,0)</x:f>
        <x:v>0</x:v>
      </x:c>
      <x:c r="O70" s="11" t="n">
        <x:v>0</x:v>
      </x:c>
      <x:c r="P70" s="11" t="str">
        <x:v>합성 파생</x:v>
      </x:c>
      <x:c r="Q70" s="11" t="str">
        <x:v>평면 직선거리만 반영; 벽·높이·공조·가스 물성 미반영</x:v>
      </x:c>
    </x:row>
    <x:row r="71">
      <x:c r="A71" s="11" t="str">
        <x:v>C06</x:v>
      </x:c>
      <x:c r="B71" s="11" t="str">
        <x:v>Z10</x:v>
      </x:c>
      <x:c r="C71" s="11" t="str">
        <x:v>Z06</x:v>
      </x:c>
      <x:c r="D71" s="11" t="n">
        <x:v>8</x:v>
      </x:c>
      <x:c r="E71" s="11" t="n">
        <x:v>31</x:v>
      </x:c>
      <x:c r="F71" s="11" t="n">
        <x:v>53</x:v>
      </x:c>
      <x:c r="G71" s="11" t="n">
        <x:v>31</x:v>
      </x:c>
      <x:c r="H71" s="20" t="n">
        <x:f>SQRT((D71-F71)^2+(E71-G71)^2)</x:f>
        <x:v>45</x:v>
      </x:c>
      <x:c r="I71" s="11" t="n">
        <x:v>3</x:v>
      </x:c>
      <x:c r="J71" s="11" t="n">
        <x:v>5</x:v>
      </x:c>
      <x:c r="K71" s="11" t="n">
        <x:v>8</x:v>
      </x:c>
      <x:c r="L71" s="11" t="n">
        <x:f>IF(H71&lt;=I71,1,0)</x:f>
        <x:v>0</x:v>
      </x:c>
      <x:c r="M71" s="11" t="n">
        <x:f>IF(H71&lt;=J71,1,0)</x:f>
        <x:v>0</x:v>
      </x:c>
      <x:c r="N71" s="11" t="n">
        <x:f>IF(H71&lt;=K71,1,0)</x:f>
        <x:v>0</x:v>
      </x:c>
      <x:c r="O71" s="11" t="n">
        <x:v>0</x:v>
      </x:c>
      <x:c r="P71" s="11" t="str">
        <x:v>합성 파생</x:v>
      </x:c>
      <x:c r="Q71" s="11" t="str">
        <x:v>평면 직선거리만 반영; 벽·높이·공조·가스 물성 미반영</x:v>
      </x:c>
    </x:row>
    <x:row r="72">
      <x:c r="A72" s="11" t="str">
        <x:v>C06</x:v>
      </x:c>
      <x:c r="B72" s="11" t="str">
        <x:v>Z11</x:v>
      </x:c>
      <x:c r="C72" s="11" t="str">
        <x:v>Z06</x:v>
      </x:c>
      <x:c r="D72" s="11" t="n">
        <x:v>8</x:v>
      </x:c>
      <x:c r="E72" s="11" t="n">
        <x:v>31</x:v>
      </x:c>
      <x:c r="F72" s="11" t="n">
        <x:v>38</x:v>
      </x:c>
      <x:c r="G72" s="11" t="n">
        <x:v>31</x:v>
      </x:c>
      <x:c r="H72" s="20" t="n">
        <x:f>SQRT((D72-F72)^2+(E72-G72)^2)</x:f>
        <x:v>30</x:v>
      </x:c>
      <x:c r="I72" s="11" t="n">
        <x:v>3</x:v>
      </x:c>
      <x:c r="J72" s="11" t="n">
        <x:v>5</x:v>
      </x:c>
      <x:c r="K72" s="11" t="n">
        <x:v>8</x:v>
      </x:c>
      <x:c r="L72" s="11" t="n">
        <x:f>IF(H72&lt;=I72,1,0)</x:f>
        <x:v>0</x:v>
      </x:c>
      <x:c r="M72" s="11" t="n">
        <x:f>IF(H72&lt;=J72,1,0)</x:f>
        <x:v>0</x:v>
      </x:c>
      <x:c r="N72" s="11" t="n">
        <x:f>IF(H72&lt;=K72,1,0)</x:f>
        <x:v>0</x:v>
      </x:c>
      <x:c r="O72" s="11" t="n">
        <x:v>0</x:v>
      </x:c>
      <x:c r="P72" s="11" t="str">
        <x:v>합성 파생</x:v>
      </x:c>
      <x:c r="Q72" s="11" t="str">
        <x:v>평면 직선거리만 반영; 벽·높이·공조·가스 물성 미반영</x:v>
      </x:c>
    </x:row>
    <x:row r="73">
      <x:c r="A73" s="11" t="str">
        <x:v>C06</x:v>
      </x:c>
      <x:c r="B73" s="11" t="str">
        <x:v>Z12</x:v>
      </x:c>
      <x:c r="C73" s="11" t="str">
        <x:v>Z06</x:v>
      </x:c>
      <x:c r="D73" s="11" t="n">
        <x:v>8</x:v>
      </x:c>
      <x:c r="E73" s="11" t="n">
        <x:v>31</x:v>
      </x:c>
      <x:c r="F73" s="11" t="n">
        <x:v>54</x:v>
      </x:c>
      <x:c r="G73" s="11" t="n">
        <x:v>6</x:v>
      </x:c>
      <x:c r="H73" s="20" t="n">
        <x:f>SQRT((D73-F73)^2+(E73-G73)^2)</x:f>
        <x:v>52.354560450833695</x:v>
      </x:c>
      <x:c r="I73" s="11" t="n">
        <x:v>3</x:v>
      </x:c>
      <x:c r="J73" s="11" t="n">
        <x:v>5</x:v>
      </x:c>
      <x:c r="K73" s="11" t="n">
        <x:v>8</x:v>
      </x:c>
      <x:c r="L73" s="11" t="n">
        <x:f>IF(H73&lt;=I73,1,0)</x:f>
        <x:v>0</x:v>
      </x:c>
      <x:c r="M73" s="11" t="n">
        <x:f>IF(H73&lt;=J73,1,0)</x:f>
        <x:v>0</x:v>
      </x:c>
      <x:c r="N73" s="11" t="n">
        <x:f>IF(H73&lt;=K73,1,0)</x:f>
        <x:v>0</x:v>
      </x:c>
      <x:c r="O73" s="11" t="n">
        <x:v>0</x:v>
      </x:c>
      <x:c r="P73" s="11" t="str">
        <x:v>합성 파생</x:v>
      </x:c>
      <x:c r="Q73" s="11" t="str">
        <x:v>평면 직선거리만 반영; 벽·높이·공조·가스 물성 미반영</x:v>
      </x:c>
    </x:row>
    <x:row r="74">
      <x:c r="A74" s="11" t="str">
        <x:v>C07</x:v>
      </x:c>
      <x:c r="B74" s="11" t="str">
        <x:v>Z01</x:v>
      </x:c>
      <x:c r="C74" s="11" t="str">
        <x:v>Z07</x:v>
      </x:c>
      <x:c r="D74" s="11" t="n">
        <x:v>22</x:v>
      </x:c>
      <x:c r="E74" s="11" t="n">
        <x:v>31</x:v>
      </x:c>
      <x:c r="F74" s="11" t="n">
        <x:v>11</x:v>
      </x:c>
      <x:c r="G74" s="11" t="n">
        <x:v>18</x:v>
      </x:c>
      <x:c r="H74" s="20" t="n">
        <x:f>SQRT((D74-F74)^2+(E74-G74)^2)</x:f>
        <x:v>17.029386365926403</x:v>
      </x:c>
      <x:c r="I74" s="11" t="n">
        <x:v>3</x:v>
      </x:c>
      <x:c r="J74" s="11" t="n">
        <x:v>5</x:v>
      </x:c>
      <x:c r="K74" s="11" t="n">
        <x:v>8</x:v>
      </x:c>
      <x:c r="L74" s="11" t="n">
        <x:f>IF(H74&lt;=I74,1,0)</x:f>
        <x:v>0</x:v>
      </x:c>
      <x:c r="M74" s="11" t="n">
        <x:f>IF(H74&lt;=J74,1,0)</x:f>
        <x:v>0</x:v>
      </x:c>
      <x:c r="N74" s="11" t="n">
        <x:f>IF(H74&lt;=K74,1,0)</x:f>
        <x:v>0</x:v>
      </x:c>
      <x:c r="O74" s="11" t="n">
        <x:v>0</x:v>
      </x:c>
      <x:c r="P74" s="11" t="str">
        <x:v>합성 파생</x:v>
      </x:c>
      <x:c r="Q74" s="11" t="str">
        <x:v>평면 직선거리만 반영; 벽·높이·공조·가스 물성 미반영</x:v>
      </x:c>
    </x:row>
    <x:row r="75">
      <x:c r="A75" s="11" t="str">
        <x:v>C07</x:v>
      </x:c>
      <x:c r="B75" s="11" t="str">
        <x:v>Z02</x:v>
      </x:c>
      <x:c r="C75" s="11" t="str">
        <x:v>Z07</x:v>
      </x:c>
      <x:c r="D75" s="11" t="n">
        <x:v>22</x:v>
      </x:c>
      <x:c r="E75" s="11" t="n">
        <x:v>31</x:v>
      </x:c>
      <x:c r="F75" s="11" t="n">
        <x:v>31</x:v>
      </x:c>
      <x:c r="G75" s="11" t="n">
        <x:v>18</x:v>
      </x:c>
      <x:c r="H75" s="20" t="n">
        <x:f>SQRT((D75-F75)^2+(E75-G75)^2)</x:f>
        <x:v>15.811388300841896</x:v>
      </x:c>
      <x:c r="I75" s="11" t="n">
        <x:v>3</x:v>
      </x:c>
      <x:c r="J75" s="11" t="n">
        <x:v>5</x:v>
      </x:c>
      <x:c r="K75" s="11" t="n">
        <x:v>8</x:v>
      </x:c>
      <x:c r="L75" s="11" t="n">
        <x:f>IF(H75&lt;=I75,1,0)</x:f>
        <x:v>0</x:v>
      </x:c>
      <x:c r="M75" s="11" t="n">
        <x:f>IF(H75&lt;=J75,1,0)</x:f>
        <x:v>0</x:v>
      </x:c>
      <x:c r="N75" s="11" t="n">
        <x:f>IF(H75&lt;=K75,1,0)</x:f>
        <x:v>0</x:v>
      </x:c>
      <x:c r="O75" s="11" t="n">
        <x:v>0</x:v>
      </x:c>
      <x:c r="P75" s="11" t="str">
        <x:v>합성 파생</x:v>
      </x:c>
      <x:c r="Q75" s="11" t="str">
        <x:v>평면 직선거리만 반영; 벽·높이·공조·가스 물성 미반영</x:v>
      </x:c>
    </x:row>
    <x:row r="76">
      <x:c r="A76" s="11" t="str">
        <x:v>C07</x:v>
      </x:c>
      <x:c r="B76" s="11" t="str">
        <x:v>Z03</x:v>
      </x:c>
      <x:c r="C76" s="11" t="str">
        <x:v>Z07</x:v>
      </x:c>
      <x:c r="D76" s="11" t="n">
        <x:v>22</x:v>
      </x:c>
      <x:c r="E76" s="11" t="n">
        <x:v>31</x:v>
      </x:c>
      <x:c r="F76" s="11" t="n">
        <x:v>50</x:v>
      </x:c>
      <x:c r="G76" s="11" t="n">
        <x:v>18</x:v>
      </x:c>
      <x:c r="H76" s="20" t="n">
        <x:f>SQRT((D76-F76)^2+(E76-G76)^2)</x:f>
        <x:v>30.870698080866262</x:v>
      </x:c>
      <x:c r="I76" s="11" t="n">
        <x:v>3</x:v>
      </x:c>
      <x:c r="J76" s="11" t="n">
        <x:v>5</x:v>
      </x:c>
      <x:c r="K76" s="11" t="n">
        <x:v>8</x:v>
      </x:c>
      <x:c r="L76" s="11" t="n">
        <x:f>IF(H76&lt;=I76,1,0)</x:f>
        <x:v>0</x:v>
      </x:c>
      <x:c r="M76" s="11" t="n">
        <x:f>IF(H76&lt;=J76,1,0)</x:f>
        <x:v>0</x:v>
      </x:c>
      <x:c r="N76" s="11" t="n">
        <x:f>IF(H76&lt;=K76,1,0)</x:f>
        <x:v>0</x:v>
      </x:c>
      <x:c r="O76" s="11" t="n">
        <x:v>0</x:v>
      </x:c>
      <x:c r="P76" s="11" t="str">
        <x:v>합성 파생</x:v>
      </x:c>
      <x:c r="Q76" s="11" t="str">
        <x:v>평면 직선거리만 반영; 벽·높이·공조·가스 물성 미반영</x:v>
      </x:c>
    </x:row>
    <x:row r="77">
      <x:c r="A77" s="11" t="str">
        <x:v>C07</x:v>
      </x:c>
      <x:c r="B77" s="11" t="str">
        <x:v>Z04</x:v>
      </x:c>
      <x:c r="C77" s="11" t="str">
        <x:v>Z07</x:v>
      </x:c>
      <x:c r="D77" s="11" t="n">
        <x:v>22</x:v>
      </x:c>
      <x:c r="E77" s="11" t="n">
        <x:v>31</x:v>
      </x:c>
      <x:c r="F77" s="11" t="n">
        <x:v>19</x:v>
      </x:c>
      <x:c r="G77" s="11" t="n">
        <x:v>6</x:v>
      </x:c>
      <x:c r="H77" s="20" t="n">
        <x:f>SQRT((D77-F77)^2+(E77-G77)^2)</x:f>
        <x:v>25.179356624028344</x:v>
      </x:c>
      <x:c r="I77" s="11" t="n">
        <x:v>3</x:v>
      </x:c>
      <x:c r="J77" s="11" t="n">
        <x:v>5</x:v>
      </x:c>
      <x:c r="K77" s="11" t="n">
        <x:v>8</x:v>
      </x:c>
      <x:c r="L77" s="11" t="n">
        <x:f>IF(H77&lt;=I77,1,0)</x:f>
        <x:v>0</x:v>
      </x:c>
      <x:c r="M77" s="11" t="n">
        <x:f>IF(H77&lt;=J77,1,0)</x:f>
        <x:v>0</x:v>
      </x:c>
      <x:c r="N77" s="11" t="n">
        <x:f>IF(H77&lt;=K77,1,0)</x:f>
        <x:v>0</x:v>
      </x:c>
      <x:c r="O77" s="11" t="n">
        <x:v>0</x:v>
      </x:c>
      <x:c r="P77" s="11" t="str">
        <x:v>합성 파생</x:v>
      </x:c>
      <x:c r="Q77" s="11" t="str">
        <x:v>평면 직선거리만 반영; 벽·높이·공조·가스 물성 미반영</x:v>
      </x:c>
    </x:row>
    <x:row r="78">
      <x:c r="A78" s="11" t="str">
        <x:v>C07</x:v>
      </x:c>
      <x:c r="B78" s="11" t="str">
        <x:v>Z05</x:v>
      </x:c>
      <x:c r="C78" s="11" t="str">
        <x:v>Z07</x:v>
      </x:c>
      <x:c r="D78" s="11" t="n">
        <x:v>22</x:v>
      </x:c>
      <x:c r="E78" s="11" t="n">
        <x:v>31</x:v>
      </x:c>
      <x:c r="F78" s="11" t="n">
        <x:v>7</x:v>
      </x:c>
      <x:c r="G78" s="11" t="n">
        <x:v>6</x:v>
      </x:c>
      <x:c r="H78" s="20" t="n">
        <x:f>SQRT((D78-F78)^2+(E78-G78)^2)</x:f>
        <x:v>29.154759474226502</x:v>
      </x:c>
      <x:c r="I78" s="11" t="n">
        <x:v>3</x:v>
      </x:c>
      <x:c r="J78" s="11" t="n">
        <x:v>5</x:v>
      </x:c>
      <x:c r="K78" s="11" t="n">
        <x:v>8</x:v>
      </x:c>
      <x:c r="L78" s="11" t="n">
        <x:f>IF(H78&lt;=I78,1,0)</x:f>
        <x:v>0</x:v>
      </x:c>
      <x:c r="M78" s="11" t="n">
        <x:f>IF(H78&lt;=J78,1,0)</x:f>
        <x:v>0</x:v>
      </x:c>
      <x:c r="N78" s="11" t="n">
        <x:f>IF(H78&lt;=K78,1,0)</x:f>
        <x:v>0</x:v>
      </x:c>
      <x:c r="O78" s="11" t="n">
        <x:v>0</x:v>
      </x:c>
      <x:c r="P78" s="11" t="str">
        <x:v>합성 파생</x:v>
      </x:c>
      <x:c r="Q78" s="11" t="str">
        <x:v>평면 직선거리만 반영; 벽·높이·공조·가스 물성 미반영</x:v>
      </x:c>
    </x:row>
    <x:row r="79">
      <x:c r="A79" s="11" t="str">
        <x:v>C07</x:v>
      </x:c>
      <x:c r="B79" s="11" t="str">
        <x:v>Z06</x:v>
      </x:c>
      <x:c r="C79" s="11" t="str">
        <x:v>Z07</x:v>
      </x:c>
      <x:c r="D79" s="11" t="n">
        <x:v>22</x:v>
      </x:c>
      <x:c r="E79" s="11" t="n">
        <x:v>31</x:v>
      </x:c>
      <x:c r="F79" s="11" t="n">
        <x:v>8</x:v>
      </x:c>
      <x:c r="G79" s="11" t="n">
        <x:v>31</x:v>
      </x:c>
      <x:c r="H79" s="20" t="n">
        <x:f>SQRT((D79-F79)^2+(E79-G79)^2)</x:f>
        <x:v>14</x:v>
      </x:c>
      <x:c r="I79" s="11" t="n">
        <x:v>3</x:v>
      </x:c>
      <x:c r="J79" s="11" t="n">
        <x:v>5</x:v>
      </x:c>
      <x:c r="K79" s="11" t="n">
        <x:v>8</x:v>
      </x:c>
      <x:c r="L79" s="11" t="n">
        <x:f>IF(H79&lt;=I79,1,0)</x:f>
        <x:v>0</x:v>
      </x:c>
      <x:c r="M79" s="11" t="n">
        <x:f>IF(H79&lt;=J79,1,0)</x:f>
        <x:v>0</x:v>
      </x:c>
      <x:c r="N79" s="11" t="n">
        <x:f>IF(H79&lt;=K79,1,0)</x:f>
        <x:v>0</x:v>
      </x:c>
      <x:c r="O79" s="11" t="n">
        <x:v>0</x:v>
      </x:c>
      <x:c r="P79" s="11" t="str">
        <x:v>합성 파생</x:v>
      </x:c>
      <x:c r="Q79" s="11" t="str">
        <x:v>평면 직선거리만 반영; 벽·높이·공조·가스 물성 미반영</x:v>
      </x:c>
    </x:row>
    <x:row r="80">
      <x:c r="A80" s="11" t="str">
        <x:v>C07</x:v>
      </x:c>
      <x:c r="B80" s="11" t="str">
        <x:v>Z07</x:v>
      </x:c>
      <x:c r="C80" s="11" t="str">
        <x:v>Z07</x:v>
      </x:c>
      <x:c r="D80" s="11" t="n">
        <x:v>22</x:v>
      </x:c>
      <x:c r="E80" s="11" t="n">
        <x:v>31</x:v>
      </x:c>
      <x:c r="F80" s="11" t="n">
        <x:v>22</x:v>
      </x:c>
      <x:c r="G80" s="11" t="n">
        <x:v>31</x:v>
      </x:c>
      <x:c r="H80" s="20" t="n">
        <x:f>SQRT((D80-F80)^2+(E80-G80)^2)</x:f>
        <x:v>0</x:v>
      </x:c>
      <x:c r="I80" s="11" t="n">
        <x:v>3</x:v>
      </x:c>
      <x:c r="J80" s="11" t="n">
        <x:v>5</x:v>
      </x:c>
      <x:c r="K80" s="11" t="n">
        <x:v>8</x:v>
      </x:c>
      <x:c r="L80" s="11" t="n">
        <x:f>IF(H80&lt;=I80,1,0)</x:f>
        <x:v>1</x:v>
      </x:c>
      <x:c r="M80" s="11" t="n">
        <x:f>IF(H80&lt;=J80,1,0)</x:f>
        <x:v>1</x:v>
      </x:c>
      <x:c r="N80" s="11" t="n">
        <x:f>IF(H80&lt;=K80,1,0)</x:f>
        <x:v>1</x:v>
      </x:c>
      <x:c r="O80" s="11" t="n">
        <x:v>1</x:v>
      </x:c>
      <x:c r="P80" s="11" t="str">
        <x:v>합성 파생</x:v>
      </x:c>
      <x:c r="Q80" s="11" t="str">
        <x:v>평면 직선거리만 반영; 벽·높이·공조·가스 물성 미반영</x:v>
      </x:c>
    </x:row>
    <x:row r="81">
      <x:c r="A81" s="11" t="str">
        <x:v>C07</x:v>
      </x:c>
      <x:c r="B81" s="11" t="str">
        <x:v>Z08</x:v>
      </x:c>
      <x:c r="C81" s="11" t="str">
        <x:v>Z07</x:v>
      </x:c>
      <x:c r="D81" s="11" t="n">
        <x:v>22</x:v>
      </x:c>
      <x:c r="E81" s="11" t="n">
        <x:v>31</x:v>
      </x:c>
      <x:c r="F81" s="11" t="n">
        <x:v>44</x:v>
      </x:c>
      <x:c r="G81" s="11" t="n">
        <x:v>6</x:v>
      </x:c>
      <x:c r="H81" s="20" t="n">
        <x:f>SQRT((D81-F81)^2+(E81-G81)^2)</x:f>
        <x:v>33.301651610693426</x:v>
      </x:c>
      <x:c r="I81" s="11" t="n">
        <x:v>3</x:v>
      </x:c>
      <x:c r="J81" s="11" t="n">
        <x:v>5</x:v>
      </x:c>
      <x:c r="K81" s="11" t="n">
        <x:v>8</x:v>
      </x:c>
      <x:c r="L81" s="11" t="n">
        <x:f>IF(H81&lt;=I81,1,0)</x:f>
        <x:v>0</x:v>
      </x:c>
      <x:c r="M81" s="11" t="n">
        <x:f>IF(H81&lt;=J81,1,0)</x:f>
        <x:v>0</x:v>
      </x:c>
      <x:c r="N81" s="11" t="n">
        <x:f>IF(H81&lt;=K81,1,0)</x:f>
        <x:v>0</x:v>
      </x:c>
      <x:c r="O81" s="11" t="n">
        <x:v>0</x:v>
      </x:c>
      <x:c r="P81" s="11" t="str">
        <x:v>합성 파생</x:v>
      </x:c>
      <x:c r="Q81" s="11" t="str">
        <x:v>평면 직선거리만 반영; 벽·높이·공조·가스 물성 미반영</x:v>
      </x:c>
    </x:row>
    <x:row r="82">
      <x:c r="A82" s="11" t="str">
        <x:v>C07</x:v>
      </x:c>
      <x:c r="B82" s="11" t="str">
        <x:v>Z09</x:v>
      </x:c>
      <x:c r="C82" s="11" t="str">
        <x:v>Z07</x:v>
      </x:c>
      <x:c r="D82" s="11" t="n">
        <x:v>22</x:v>
      </x:c>
      <x:c r="E82" s="11" t="n">
        <x:v>31</x:v>
      </x:c>
      <x:c r="F82" s="11" t="n">
        <x:v>32</x:v>
      </x:c>
      <x:c r="G82" s="11" t="n">
        <x:v>6</x:v>
      </x:c>
      <x:c r="H82" s="20" t="n">
        <x:f>SQRT((D82-F82)^2+(E82-G82)^2)</x:f>
        <x:v>26.92582403567252</x:v>
      </x:c>
      <x:c r="I82" s="11" t="n">
        <x:v>3</x:v>
      </x:c>
      <x:c r="J82" s="11" t="n">
        <x:v>5</x:v>
      </x:c>
      <x:c r="K82" s="11" t="n">
        <x:v>8</x:v>
      </x:c>
      <x:c r="L82" s="11" t="n">
        <x:f>IF(H82&lt;=I82,1,0)</x:f>
        <x:v>0</x:v>
      </x:c>
      <x:c r="M82" s="11" t="n">
        <x:f>IF(H82&lt;=J82,1,0)</x:f>
        <x:v>0</x:v>
      </x:c>
      <x:c r="N82" s="11" t="n">
        <x:f>IF(H82&lt;=K82,1,0)</x:f>
        <x:v>0</x:v>
      </x:c>
      <x:c r="O82" s="11" t="n">
        <x:v>0</x:v>
      </x:c>
      <x:c r="P82" s="11" t="str">
        <x:v>합성 파생</x:v>
      </x:c>
      <x:c r="Q82" s="11" t="str">
        <x:v>평면 직선거리만 반영; 벽·높이·공조·가스 물성 미반영</x:v>
      </x:c>
    </x:row>
    <x:row r="83">
      <x:c r="A83" s="11" t="str">
        <x:v>C07</x:v>
      </x:c>
      <x:c r="B83" s="11" t="str">
        <x:v>Z10</x:v>
      </x:c>
      <x:c r="C83" s="11" t="str">
        <x:v>Z07</x:v>
      </x:c>
      <x:c r="D83" s="11" t="n">
        <x:v>22</x:v>
      </x:c>
      <x:c r="E83" s="11" t="n">
        <x:v>31</x:v>
      </x:c>
      <x:c r="F83" s="11" t="n">
        <x:v>53</x:v>
      </x:c>
      <x:c r="G83" s="11" t="n">
        <x:v>31</x:v>
      </x:c>
      <x:c r="H83" s="20" t="n">
        <x:f>SQRT((D83-F83)^2+(E83-G83)^2)</x:f>
        <x:v>31</x:v>
      </x:c>
      <x:c r="I83" s="11" t="n">
        <x:v>3</x:v>
      </x:c>
      <x:c r="J83" s="11" t="n">
        <x:v>5</x:v>
      </x:c>
      <x:c r="K83" s="11" t="n">
        <x:v>8</x:v>
      </x:c>
      <x:c r="L83" s="11" t="n">
        <x:f>IF(H83&lt;=I83,1,0)</x:f>
        <x:v>0</x:v>
      </x:c>
      <x:c r="M83" s="11" t="n">
        <x:f>IF(H83&lt;=J83,1,0)</x:f>
        <x:v>0</x:v>
      </x:c>
      <x:c r="N83" s="11" t="n">
        <x:f>IF(H83&lt;=K83,1,0)</x:f>
        <x:v>0</x:v>
      </x:c>
      <x:c r="O83" s="11" t="n">
        <x:v>0</x:v>
      </x:c>
      <x:c r="P83" s="11" t="str">
        <x:v>합성 파생</x:v>
      </x:c>
      <x:c r="Q83" s="11" t="str">
        <x:v>평면 직선거리만 반영; 벽·높이·공조·가스 물성 미반영</x:v>
      </x:c>
    </x:row>
    <x:row r="84">
      <x:c r="A84" s="11" t="str">
        <x:v>C07</x:v>
      </x:c>
      <x:c r="B84" s="11" t="str">
        <x:v>Z11</x:v>
      </x:c>
      <x:c r="C84" s="11" t="str">
        <x:v>Z07</x:v>
      </x:c>
      <x:c r="D84" s="11" t="n">
        <x:v>22</x:v>
      </x:c>
      <x:c r="E84" s="11" t="n">
        <x:v>31</x:v>
      </x:c>
      <x:c r="F84" s="11" t="n">
        <x:v>38</x:v>
      </x:c>
      <x:c r="G84" s="11" t="n">
        <x:v>31</x:v>
      </x:c>
      <x:c r="H84" s="20" t="n">
        <x:f>SQRT((D84-F84)^2+(E84-G84)^2)</x:f>
        <x:v>16</x:v>
      </x:c>
      <x:c r="I84" s="11" t="n">
        <x:v>3</x:v>
      </x:c>
      <x:c r="J84" s="11" t="n">
        <x:v>5</x:v>
      </x:c>
      <x:c r="K84" s="11" t="n">
        <x:v>8</x:v>
      </x:c>
      <x:c r="L84" s="11" t="n">
        <x:f>IF(H84&lt;=I84,1,0)</x:f>
        <x:v>0</x:v>
      </x:c>
      <x:c r="M84" s="11" t="n">
        <x:f>IF(H84&lt;=J84,1,0)</x:f>
        <x:v>0</x:v>
      </x:c>
      <x:c r="N84" s="11" t="n">
        <x:f>IF(H84&lt;=K84,1,0)</x:f>
        <x:v>0</x:v>
      </x:c>
      <x:c r="O84" s="11" t="n">
        <x:v>0</x:v>
      </x:c>
      <x:c r="P84" s="11" t="str">
        <x:v>합성 파생</x:v>
      </x:c>
      <x:c r="Q84" s="11" t="str">
        <x:v>평면 직선거리만 반영; 벽·높이·공조·가스 물성 미반영</x:v>
      </x:c>
    </x:row>
    <x:row r="85">
      <x:c r="A85" s="11" t="str">
        <x:v>C07</x:v>
      </x:c>
      <x:c r="B85" s="11" t="str">
        <x:v>Z12</x:v>
      </x:c>
      <x:c r="C85" s="11" t="str">
        <x:v>Z07</x:v>
      </x:c>
      <x:c r="D85" s="11" t="n">
        <x:v>22</x:v>
      </x:c>
      <x:c r="E85" s="11" t="n">
        <x:v>31</x:v>
      </x:c>
      <x:c r="F85" s="11" t="n">
        <x:v>54</x:v>
      </x:c>
      <x:c r="G85" s="11" t="n">
        <x:v>6</x:v>
      </x:c>
      <x:c r="H85" s="20" t="n">
        <x:f>SQRT((D85-F85)^2+(E85-G85)^2)</x:f>
        <x:v>40.607881008493905</x:v>
      </x:c>
      <x:c r="I85" s="11" t="n">
        <x:v>3</x:v>
      </x:c>
      <x:c r="J85" s="11" t="n">
        <x:v>5</x:v>
      </x:c>
      <x:c r="K85" s="11" t="n">
        <x:v>8</x:v>
      </x:c>
      <x:c r="L85" s="11" t="n">
        <x:f>IF(H85&lt;=I85,1,0)</x:f>
        <x:v>0</x:v>
      </x:c>
      <x:c r="M85" s="11" t="n">
        <x:f>IF(H85&lt;=J85,1,0)</x:f>
        <x:v>0</x:v>
      </x:c>
      <x:c r="N85" s="11" t="n">
        <x:f>IF(H85&lt;=K85,1,0)</x:f>
        <x:v>0</x:v>
      </x:c>
      <x:c r="O85" s="11" t="n">
        <x:v>0</x:v>
      </x:c>
      <x:c r="P85" s="11" t="str">
        <x:v>합성 파생</x:v>
      </x:c>
      <x:c r="Q85" s="11" t="str">
        <x:v>평면 직선거리만 반영; 벽·높이·공조·가스 물성 미반영</x:v>
      </x:c>
    </x:row>
    <x:row r="86">
      <x:c r="A86" s="11" t="str">
        <x:v>C08</x:v>
      </x:c>
      <x:c r="B86" s="11" t="str">
        <x:v>Z01</x:v>
      </x:c>
      <x:c r="C86" s="11" t="str">
        <x:v>Z08</x:v>
      </x:c>
      <x:c r="D86" s="11" t="n">
        <x:v>44</x:v>
      </x:c>
      <x:c r="E86" s="11" t="n">
        <x:v>6</x:v>
      </x:c>
      <x:c r="F86" s="11" t="n">
        <x:v>11</x:v>
      </x:c>
      <x:c r="G86" s="11" t="n">
        <x:v>18</x:v>
      </x:c>
      <x:c r="H86" s="20" t="n">
        <x:f>SQRT((D86-F86)^2+(E86-G86)^2)</x:f>
        <x:v>35.11409973215888</x:v>
      </x:c>
      <x:c r="I86" s="11" t="n">
        <x:v>3</x:v>
      </x:c>
      <x:c r="J86" s="11" t="n">
        <x:v>5</x:v>
      </x:c>
      <x:c r="K86" s="11" t="n">
        <x:v>8</x:v>
      </x:c>
      <x:c r="L86" s="11" t="n">
        <x:f>IF(H86&lt;=I86,1,0)</x:f>
        <x:v>0</x:v>
      </x:c>
      <x:c r="M86" s="11" t="n">
        <x:f>IF(H86&lt;=J86,1,0)</x:f>
        <x:v>0</x:v>
      </x:c>
      <x:c r="N86" s="11" t="n">
        <x:f>IF(H86&lt;=K86,1,0)</x:f>
        <x:v>0</x:v>
      </x:c>
      <x:c r="O86" s="11" t="n">
        <x:v>0</x:v>
      </x:c>
      <x:c r="P86" s="11" t="str">
        <x:v>합성 파생</x:v>
      </x:c>
      <x:c r="Q86" s="11" t="str">
        <x:v>평면 직선거리만 반영; 벽·높이·공조·가스 물성 미반영</x:v>
      </x:c>
    </x:row>
    <x:row r="87">
      <x:c r="A87" s="11" t="str">
        <x:v>C08</x:v>
      </x:c>
      <x:c r="B87" s="11" t="str">
        <x:v>Z02</x:v>
      </x:c>
      <x:c r="C87" s="11" t="str">
        <x:v>Z08</x:v>
      </x:c>
      <x:c r="D87" s="11" t="n">
        <x:v>44</x:v>
      </x:c>
      <x:c r="E87" s="11" t="n">
        <x:v>6</x:v>
      </x:c>
      <x:c r="F87" s="11" t="n">
        <x:v>31</x:v>
      </x:c>
      <x:c r="G87" s="11" t="n">
        <x:v>18</x:v>
      </x:c>
      <x:c r="H87" s="20" t="n">
        <x:f>SQRT((D87-F87)^2+(E87-G87)^2)</x:f>
        <x:v>17.69180601295413</x:v>
      </x:c>
      <x:c r="I87" s="11" t="n">
        <x:v>3</x:v>
      </x:c>
      <x:c r="J87" s="11" t="n">
        <x:v>5</x:v>
      </x:c>
      <x:c r="K87" s="11" t="n">
        <x:v>8</x:v>
      </x:c>
      <x:c r="L87" s="11" t="n">
        <x:f>IF(H87&lt;=I87,1,0)</x:f>
        <x:v>0</x:v>
      </x:c>
      <x:c r="M87" s="11" t="n">
        <x:f>IF(H87&lt;=J87,1,0)</x:f>
        <x:v>0</x:v>
      </x:c>
      <x:c r="N87" s="11" t="n">
        <x:f>IF(H87&lt;=K87,1,0)</x:f>
        <x:v>0</x:v>
      </x:c>
      <x:c r="O87" s="11" t="n">
        <x:v>0</x:v>
      </x:c>
      <x:c r="P87" s="11" t="str">
        <x:v>합성 파생</x:v>
      </x:c>
      <x:c r="Q87" s="11" t="str">
        <x:v>평면 직선거리만 반영; 벽·높이·공조·가스 물성 미반영</x:v>
      </x:c>
    </x:row>
    <x:row r="88">
      <x:c r="A88" s="11" t="str">
        <x:v>C08</x:v>
      </x:c>
      <x:c r="B88" s="11" t="str">
        <x:v>Z03</x:v>
      </x:c>
      <x:c r="C88" s="11" t="str">
        <x:v>Z08</x:v>
      </x:c>
      <x:c r="D88" s="11" t="n">
        <x:v>44</x:v>
      </x:c>
      <x:c r="E88" s="11" t="n">
        <x:v>6</x:v>
      </x:c>
      <x:c r="F88" s="11" t="n">
        <x:v>50</x:v>
      </x:c>
      <x:c r="G88" s="11" t="n">
        <x:v>18</x:v>
      </x:c>
      <x:c r="H88" s="20" t="n">
        <x:f>SQRT((D88-F88)^2+(E88-G88)^2)</x:f>
        <x:v>13.416407864998739</x:v>
      </x:c>
      <x:c r="I88" s="11" t="n">
        <x:v>3</x:v>
      </x:c>
      <x:c r="J88" s="11" t="n">
        <x:v>5</x:v>
      </x:c>
      <x:c r="K88" s="11" t="n">
        <x:v>8</x:v>
      </x:c>
      <x:c r="L88" s="11" t="n">
        <x:f>IF(H88&lt;=I88,1,0)</x:f>
        <x:v>0</x:v>
      </x:c>
      <x:c r="M88" s="11" t="n">
        <x:f>IF(H88&lt;=J88,1,0)</x:f>
        <x:v>0</x:v>
      </x:c>
      <x:c r="N88" s="11" t="n">
        <x:f>IF(H88&lt;=K88,1,0)</x:f>
        <x:v>0</x:v>
      </x:c>
      <x:c r="O88" s="11" t="n">
        <x:v>0</x:v>
      </x:c>
      <x:c r="P88" s="11" t="str">
        <x:v>합성 파생</x:v>
      </x:c>
      <x:c r="Q88" s="11" t="str">
        <x:v>평면 직선거리만 반영; 벽·높이·공조·가스 물성 미반영</x:v>
      </x:c>
    </x:row>
    <x:row r="89">
      <x:c r="A89" s="11" t="str">
        <x:v>C08</x:v>
      </x:c>
      <x:c r="B89" s="11" t="str">
        <x:v>Z04</x:v>
      </x:c>
      <x:c r="C89" s="11" t="str">
        <x:v>Z08</x:v>
      </x:c>
      <x:c r="D89" s="11" t="n">
        <x:v>44</x:v>
      </x:c>
      <x:c r="E89" s="11" t="n">
        <x:v>6</x:v>
      </x:c>
      <x:c r="F89" s="11" t="n">
        <x:v>19</x:v>
      </x:c>
      <x:c r="G89" s="11" t="n">
        <x:v>6</x:v>
      </x:c>
      <x:c r="H89" s="20" t="n">
        <x:f>SQRT((D89-F89)^2+(E89-G89)^2)</x:f>
        <x:v>25</x:v>
      </x:c>
      <x:c r="I89" s="11" t="n">
        <x:v>3</x:v>
      </x:c>
      <x:c r="J89" s="11" t="n">
        <x:v>5</x:v>
      </x:c>
      <x:c r="K89" s="11" t="n">
        <x:v>8</x:v>
      </x:c>
      <x:c r="L89" s="11" t="n">
        <x:f>IF(H89&lt;=I89,1,0)</x:f>
        <x:v>0</x:v>
      </x:c>
      <x:c r="M89" s="11" t="n">
        <x:f>IF(H89&lt;=J89,1,0)</x:f>
        <x:v>0</x:v>
      </x:c>
      <x:c r="N89" s="11" t="n">
        <x:f>IF(H89&lt;=K89,1,0)</x:f>
        <x:v>0</x:v>
      </x:c>
      <x:c r="O89" s="11" t="n">
        <x:v>0</x:v>
      </x:c>
      <x:c r="P89" s="11" t="str">
        <x:v>합성 파생</x:v>
      </x:c>
      <x:c r="Q89" s="11" t="str">
        <x:v>평면 직선거리만 반영; 벽·높이·공조·가스 물성 미반영</x:v>
      </x:c>
    </x:row>
    <x:row r="90">
      <x:c r="A90" s="11" t="str">
        <x:v>C08</x:v>
      </x:c>
      <x:c r="B90" s="11" t="str">
        <x:v>Z05</x:v>
      </x:c>
      <x:c r="C90" s="11" t="str">
        <x:v>Z08</x:v>
      </x:c>
      <x:c r="D90" s="11" t="n">
        <x:v>44</x:v>
      </x:c>
      <x:c r="E90" s="11" t="n">
        <x:v>6</x:v>
      </x:c>
      <x:c r="F90" s="11" t="n">
        <x:v>7</x:v>
      </x:c>
      <x:c r="G90" s="11" t="n">
        <x:v>6</x:v>
      </x:c>
      <x:c r="H90" s="20" t="n">
        <x:f>SQRT((D90-F90)^2+(E90-G90)^2)</x:f>
        <x:v>37</x:v>
      </x:c>
      <x:c r="I90" s="11" t="n">
        <x:v>3</x:v>
      </x:c>
      <x:c r="J90" s="11" t="n">
        <x:v>5</x:v>
      </x:c>
      <x:c r="K90" s="11" t="n">
        <x:v>8</x:v>
      </x:c>
      <x:c r="L90" s="11" t="n">
        <x:f>IF(H90&lt;=I90,1,0)</x:f>
        <x:v>0</x:v>
      </x:c>
      <x:c r="M90" s="11" t="n">
        <x:f>IF(H90&lt;=J90,1,0)</x:f>
        <x:v>0</x:v>
      </x:c>
      <x:c r="N90" s="11" t="n">
        <x:f>IF(H90&lt;=K90,1,0)</x:f>
        <x:v>0</x:v>
      </x:c>
      <x:c r="O90" s="11" t="n">
        <x:v>0</x:v>
      </x:c>
      <x:c r="P90" s="11" t="str">
        <x:v>합성 파생</x:v>
      </x:c>
      <x:c r="Q90" s="11" t="str">
        <x:v>평면 직선거리만 반영; 벽·높이·공조·가스 물성 미반영</x:v>
      </x:c>
    </x:row>
    <x:row r="91">
      <x:c r="A91" s="11" t="str">
        <x:v>C08</x:v>
      </x:c>
      <x:c r="B91" s="11" t="str">
        <x:v>Z06</x:v>
      </x:c>
      <x:c r="C91" s="11" t="str">
        <x:v>Z08</x:v>
      </x:c>
      <x:c r="D91" s="11" t="n">
        <x:v>44</x:v>
      </x:c>
      <x:c r="E91" s="11" t="n">
        <x:v>6</x:v>
      </x:c>
      <x:c r="F91" s="11" t="n">
        <x:v>8</x:v>
      </x:c>
      <x:c r="G91" s="11" t="n">
        <x:v>31</x:v>
      </x:c>
      <x:c r="H91" s="20" t="n">
        <x:f>SQRT((D91-F91)^2+(E91-G91)^2)</x:f>
        <x:v>43.829214001622255</x:v>
      </x:c>
      <x:c r="I91" s="11" t="n">
        <x:v>3</x:v>
      </x:c>
      <x:c r="J91" s="11" t="n">
        <x:v>5</x:v>
      </x:c>
      <x:c r="K91" s="11" t="n">
        <x:v>8</x:v>
      </x:c>
      <x:c r="L91" s="11" t="n">
        <x:f>IF(H91&lt;=I91,1,0)</x:f>
        <x:v>0</x:v>
      </x:c>
      <x:c r="M91" s="11" t="n">
        <x:f>IF(H91&lt;=J91,1,0)</x:f>
        <x:v>0</x:v>
      </x:c>
      <x:c r="N91" s="11" t="n">
        <x:f>IF(H91&lt;=K91,1,0)</x:f>
        <x:v>0</x:v>
      </x:c>
      <x:c r="O91" s="11" t="n">
        <x:v>0</x:v>
      </x:c>
      <x:c r="P91" s="11" t="str">
        <x:v>합성 파생</x:v>
      </x:c>
      <x:c r="Q91" s="11" t="str">
        <x:v>평면 직선거리만 반영; 벽·높이·공조·가스 물성 미반영</x:v>
      </x:c>
    </x:row>
    <x:row r="92">
      <x:c r="A92" s="11" t="str">
        <x:v>C08</x:v>
      </x:c>
      <x:c r="B92" s="11" t="str">
        <x:v>Z07</x:v>
      </x:c>
      <x:c r="C92" s="11" t="str">
        <x:v>Z08</x:v>
      </x:c>
      <x:c r="D92" s="11" t="n">
        <x:v>44</x:v>
      </x:c>
      <x:c r="E92" s="11" t="n">
        <x:v>6</x:v>
      </x:c>
      <x:c r="F92" s="11" t="n">
        <x:v>22</x:v>
      </x:c>
      <x:c r="G92" s="11" t="n">
        <x:v>31</x:v>
      </x:c>
      <x:c r="H92" s="20" t="n">
        <x:f>SQRT((D92-F92)^2+(E92-G92)^2)</x:f>
        <x:v>33.301651610693426</x:v>
      </x:c>
      <x:c r="I92" s="11" t="n">
        <x:v>3</x:v>
      </x:c>
      <x:c r="J92" s="11" t="n">
        <x:v>5</x:v>
      </x:c>
      <x:c r="K92" s="11" t="n">
        <x:v>8</x:v>
      </x:c>
      <x:c r="L92" s="11" t="n">
        <x:f>IF(H92&lt;=I92,1,0)</x:f>
        <x:v>0</x:v>
      </x:c>
      <x:c r="M92" s="11" t="n">
        <x:f>IF(H92&lt;=J92,1,0)</x:f>
        <x:v>0</x:v>
      </x:c>
      <x:c r="N92" s="11" t="n">
        <x:f>IF(H92&lt;=K92,1,0)</x:f>
        <x:v>0</x:v>
      </x:c>
      <x:c r="O92" s="11" t="n">
        <x:v>0</x:v>
      </x:c>
      <x:c r="P92" s="11" t="str">
        <x:v>합성 파생</x:v>
      </x:c>
      <x:c r="Q92" s="11" t="str">
        <x:v>평면 직선거리만 반영; 벽·높이·공조·가스 물성 미반영</x:v>
      </x:c>
    </x:row>
    <x:row r="93">
      <x:c r="A93" s="11" t="str">
        <x:v>C08</x:v>
      </x:c>
      <x:c r="B93" s="11" t="str">
        <x:v>Z08</x:v>
      </x:c>
      <x:c r="C93" s="11" t="str">
        <x:v>Z08</x:v>
      </x:c>
      <x:c r="D93" s="11" t="n">
        <x:v>44</x:v>
      </x:c>
      <x:c r="E93" s="11" t="n">
        <x:v>6</x:v>
      </x:c>
      <x:c r="F93" s="11" t="n">
        <x:v>44</x:v>
      </x:c>
      <x:c r="G93" s="11" t="n">
        <x:v>6</x:v>
      </x:c>
      <x:c r="H93" s="20" t="n">
        <x:f>SQRT((D93-F93)^2+(E93-G93)^2)</x:f>
        <x:v>0</x:v>
      </x:c>
      <x:c r="I93" s="11" t="n">
        <x:v>3</x:v>
      </x:c>
      <x:c r="J93" s="11" t="n">
        <x:v>5</x:v>
      </x:c>
      <x:c r="K93" s="11" t="n">
        <x:v>8</x:v>
      </x:c>
      <x:c r="L93" s="11" t="n">
        <x:f>IF(H93&lt;=I93,1,0)</x:f>
        <x:v>1</x:v>
      </x:c>
      <x:c r="M93" s="11" t="n">
        <x:f>IF(H93&lt;=J93,1,0)</x:f>
        <x:v>1</x:v>
      </x:c>
      <x:c r="N93" s="11" t="n">
        <x:f>IF(H93&lt;=K93,1,0)</x:f>
        <x:v>1</x:v>
      </x:c>
      <x:c r="O93" s="11" t="n">
        <x:v>1</x:v>
      </x:c>
      <x:c r="P93" s="11" t="str">
        <x:v>합성 파생</x:v>
      </x:c>
      <x:c r="Q93" s="11" t="str">
        <x:v>평면 직선거리만 반영; 벽·높이·공조·가스 물성 미반영</x:v>
      </x:c>
    </x:row>
    <x:row r="94">
      <x:c r="A94" s="11" t="str">
        <x:v>C08</x:v>
      </x:c>
      <x:c r="B94" s="11" t="str">
        <x:v>Z09</x:v>
      </x:c>
      <x:c r="C94" s="11" t="str">
        <x:v>Z08</x:v>
      </x:c>
      <x:c r="D94" s="11" t="n">
        <x:v>44</x:v>
      </x:c>
      <x:c r="E94" s="11" t="n">
        <x:v>6</x:v>
      </x:c>
      <x:c r="F94" s="11" t="n">
        <x:v>32</x:v>
      </x:c>
      <x:c r="G94" s="11" t="n">
        <x:v>6</x:v>
      </x:c>
      <x:c r="H94" s="20" t="n">
        <x:f>SQRT((D94-F94)^2+(E94-G94)^2)</x:f>
        <x:v>12</x:v>
      </x:c>
      <x:c r="I94" s="11" t="n">
        <x:v>3</x:v>
      </x:c>
      <x:c r="J94" s="11" t="n">
        <x:v>5</x:v>
      </x:c>
      <x:c r="K94" s="11" t="n">
        <x:v>8</x:v>
      </x:c>
      <x:c r="L94" s="11" t="n">
        <x:f>IF(H94&lt;=I94,1,0)</x:f>
        <x:v>0</x:v>
      </x:c>
      <x:c r="M94" s="11" t="n">
        <x:f>IF(H94&lt;=J94,1,0)</x:f>
        <x:v>0</x:v>
      </x:c>
      <x:c r="N94" s="11" t="n">
        <x:f>IF(H94&lt;=K94,1,0)</x:f>
        <x:v>0</x:v>
      </x:c>
      <x:c r="O94" s="11" t="n">
        <x:v>0</x:v>
      </x:c>
      <x:c r="P94" s="11" t="str">
        <x:v>합성 파생</x:v>
      </x:c>
      <x:c r="Q94" s="11" t="str">
        <x:v>평면 직선거리만 반영; 벽·높이·공조·가스 물성 미반영</x:v>
      </x:c>
    </x:row>
    <x:row r="95">
      <x:c r="A95" s="11" t="str">
        <x:v>C08</x:v>
      </x:c>
      <x:c r="B95" s="11" t="str">
        <x:v>Z10</x:v>
      </x:c>
      <x:c r="C95" s="11" t="str">
        <x:v>Z08</x:v>
      </x:c>
      <x:c r="D95" s="11" t="n">
        <x:v>44</x:v>
      </x:c>
      <x:c r="E95" s="11" t="n">
        <x:v>6</x:v>
      </x:c>
      <x:c r="F95" s="11" t="n">
        <x:v>53</x:v>
      </x:c>
      <x:c r="G95" s="11" t="n">
        <x:v>31</x:v>
      </x:c>
      <x:c r="H95" s="20" t="n">
        <x:f>SQRT((D95-F95)^2+(E95-G95)^2)</x:f>
        <x:v>26.570660511172846</x:v>
      </x:c>
      <x:c r="I95" s="11" t="n">
        <x:v>3</x:v>
      </x:c>
      <x:c r="J95" s="11" t="n">
        <x:v>5</x:v>
      </x:c>
      <x:c r="K95" s="11" t="n">
        <x:v>8</x:v>
      </x:c>
      <x:c r="L95" s="11" t="n">
        <x:f>IF(H95&lt;=I95,1,0)</x:f>
        <x:v>0</x:v>
      </x:c>
      <x:c r="M95" s="11" t="n">
        <x:f>IF(H95&lt;=J95,1,0)</x:f>
        <x:v>0</x:v>
      </x:c>
      <x:c r="N95" s="11" t="n">
        <x:f>IF(H95&lt;=K95,1,0)</x:f>
        <x:v>0</x:v>
      </x:c>
      <x:c r="O95" s="11" t="n">
        <x:v>0</x:v>
      </x:c>
      <x:c r="P95" s="11" t="str">
        <x:v>합성 파생</x:v>
      </x:c>
      <x:c r="Q95" s="11" t="str">
        <x:v>평면 직선거리만 반영; 벽·높이·공조·가스 물성 미반영</x:v>
      </x:c>
    </x:row>
    <x:row r="96">
      <x:c r="A96" s="11" t="str">
        <x:v>C08</x:v>
      </x:c>
      <x:c r="B96" s="11" t="str">
        <x:v>Z11</x:v>
      </x:c>
      <x:c r="C96" s="11" t="str">
        <x:v>Z08</x:v>
      </x:c>
      <x:c r="D96" s="11" t="n">
        <x:v>44</x:v>
      </x:c>
      <x:c r="E96" s="11" t="n">
        <x:v>6</x:v>
      </x:c>
      <x:c r="F96" s="11" t="n">
        <x:v>38</x:v>
      </x:c>
      <x:c r="G96" s="11" t="n">
        <x:v>31</x:v>
      </x:c>
      <x:c r="H96" s="20" t="n">
        <x:f>SQRT((D96-F96)^2+(E96-G96)^2)</x:f>
        <x:v>25.709920264364882</x:v>
      </x:c>
      <x:c r="I96" s="11" t="n">
        <x:v>3</x:v>
      </x:c>
      <x:c r="J96" s="11" t="n">
        <x:v>5</x:v>
      </x:c>
      <x:c r="K96" s="11" t="n">
        <x:v>8</x:v>
      </x:c>
      <x:c r="L96" s="11" t="n">
        <x:f>IF(H96&lt;=I96,1,0)</x:f>
        <x:v>0</x:v>
      </x:c>
      <x:c r="M96" s="11" t="n">
        <x:f>IF(H96&lt;=J96,1,0)</x:f>
        <x:v>0</x:v>
      </x:c>
      <x:c r="N96" s="11" t="n">
        <x:f>IF(H96&lt;=K96,1,0)</x:f>
        <x:v>0</x:v>
      </x:c>
      <x:c r="O96" s="11" t="n">
        <x:v>0</x:v>
      </x:c>
      <x:c r="P96" s="11" t="str">
        <x:v>합성 파생</x:v>
      </x:c>
      <x:c r="Q96" s="11" t="str">
        <x:v>평면 직선거리만 반영; 벽·높이·공조·가스 물성 미반영</x:v>
      </x:c>
    </x:row>
    <x:row r="97">
      <x:c r="A97" s="11" t="str">
        <x:v>C08</x:v>
      </x:c>
      <x:c r="B97" s="11" t="str">
        <x:v>Z12</x:v>
      </x:c>
      <x:c r="C97" s="11" t="str">
        <x:v>Z08</x:v>
      </x:c>
      <x:c r="D97" s="11" t="n">
        <x:v>44</x:v>
      </x:c>
      <x:c r="E97" s="11" t="n">
        <x:v>6</x:v>
      </x:c>
      <x:c r="F97" s="11" t="n">
        <x:v>54</x:v>
      </x:c>
      <x:c r="G97" s="11" t="n">
        <x:v>6</x:v>
      </x:c>
      <x:c r="H97" s="20" t="n">
        <x:f>SQRT((D97-F97)^2+(E97-G97)^2)</x:f>
        <x:v>10</x:v>
      </x:c>
      <x:c r="I97" s="11" t="n">
        <x:v>3</x:v>
      </x:c>
      <x:c r="J97" s="11" t="n">
        <x:v>5</x:v>
      </x:c>
      <x:c r="K97" s="11" t="n">
        <x:v>8</x:v>
      </x:c>
      <x:c r="L97" s="11" t="n">
        <x:f>IF(H97&lt;=I97,1,0)</x:f>
        <x:v>0</x:v>
      </x:c>
      <x:c r="M97" s="11" t="n">
        <x:f>IF(H97&lt;=J97,1,0)</x:f>
        <x:v>0</x:v>
      </x:c>
      <x:c r="N97" s="11" t="n">
        <x:f>IF(H97&lt;=K97,1,0)</x:f>
        <x:v>0</x:v>
      </x:c>
      <x:c r="O97" s="11" t="n">
        <x:v>0</x:v>
      </x:c>
      <x:c r="P97" s="11" t="str">
        <x:v>합성 파생</x:v>
      </x:c>
      <x:c r="Q97" s="11" t="str">
        <x:v>평면 직선거리만 반영; 벽·높이·공조·가스 물성 미반영</x:v>
      </x:c>
    </x:row>
    <x:row r="98">
      <x:c r="A98" s="11" t="str">
        <x:v>C09</x:v>
      </x:c>
      <x:c r="B98" s="11" t="str">
        <x:v>Z01</x:v>
      </x:c>
      <x:c r="C98" s="11" t="str">
        <x:v>Z09</x:v>
      </x:c>
      <x:c r="D98" s="11" t="n">
        <x:v>32</x:v>
      </x:c>
      <x:c r="E98" s="11" t="n">
        <x:v>6</x:v>
      </x:c>
      <x:c r="F98" s="11" t="n">
        <x:v>11</x:v>
      </x:c>
      <x:c r="G98" s="11" t="n">
        <x:v>18</x:v>
      </x:c>
      <x:c r="H98" s="20" t="n">
        <x:f>SQRT((D98-F98)^2+(E98-G98)^2)</x:f>
        <x:v>24.186773244895647</x:v>
      </x:c>
      <x:c r="I98" s="11" t="n">
        <x:v>3</x:v>
      </x:c>
      <x:c r="J98" s="11" t="n">
        <x:v>5</x:v>
      </x:c>
      <x:c r="K98" s="11" t="n">
        <x:v>8</x:v>
      </x:c>
      <x:c r="L98" s="11" t="n">
        <x:f>IF(H98&lt;=I98,1,0)</x:f>
        <x:v>0</x:v>
      </x:c>
      <x:c r="M98" s="11" t="n">
        <x:f>IF(H98&lt;=J98,1,0)</x:f>
        <x:v>0</x:v>
      </x:c>
      <x:c r="N98" s="11" t="n">
        <x:f>IF(H98&lt;=K98,1,0)</x:f>
        <x:v>0</x:v>
      </x:c>
      <x:c r="O98" s="11" t="n">
        <x:v>0</x:v>
      </x:c>
      <x:c r="P98" s="11" t="str">
        <x:v>합성 파생</x:v>
      </x:c>
      <x:c r="Q98" s="11" t="str">
        <x:v>평면 직선거리만 반영; 벽·높이·공조·가스 물성 미반영</x:v>
      </x:c>
    </x:row>
    <x:row r="99">
      <x:c r="A99" s="11" t="str">
        <x:v>C09</x:v>
      </x:c>
      <x:c r="B99" s="11" t="str">
        <x:v>Z02</x:v>
      </x:c>
      <x:c r="C99" s="11" t="str">
        <x:v>Z09</x:v>
      </x:c>
      <x:c r="D99" s="11" t="n">
        <x:v>32</x:v>
      </x:c>
      <x:c r="E99" s="11" t="n">
        <x:v>6</x:v>
      </x:c>
      <x:c r="F99" s="11" t="n">
        <x:v>31</x:v>
      </x:c>
      <x:c r="G99" s="11" t="n">
        <x:v>18</x:v>
      </x:c>
      <x:c r="H99" s="20" t="n">
        <x:f>SQRT((D99-F99)^2+(E99-G99)^2)</x:f>
        <x:v>12.041594578792296</x:v>
      </x:c>
      <x:c r="I99" s="11" t="n">
        <x:v>3</x:v>
      </x:c>
      <x:c r="J99" s="11" t="n">
        <x:v>5</x:v>
      </x:c>
      <x:c r="K99" s="11" t="n">
        <x:v>8</x:v>
      </x:c>
      <x:c r="L99" s="11" t="n">
        <x:f>IF(H99&lt;=I99,1,0)</x:f>
        <x:v>0</x:v>
      </x:c>
      <x:c r="M99" s="11" t="n">
        <x:f>IF(H99&lt;=J99,1,0)</x:f>
        <x:v>0</x:v>
      </x:c>
      <x:c r="N99" s="11" t="n">
        <x:f>IF(H99&lt;=K99,1,0)</x:f>
        <x:v>0</x:v>
      </x:c>
      <x:c r="O99" s="11" t="n">
        <x:v>0</x:v>
      </x:c>
      <x:c r="P99" s="11" t="str">
        <x:v>합성 파생</x:v>
      </x:c>
      <x:c r="Q99" s="11" t="str">
        <x:v>평면 직선거리만 반영; 벽·높이·공조·가스 물성 미반영</x:v>
      </x:c>
    </x:row>
    <x:row r="100">
      <x:c r="A100" s="11" t="str">
        <x:v>C09</x:v>
      </x:c>
      <x:c r="B100" s="11" t="str">
        <x:v>Z03</x:v>
      </x:c>
      <x:c r="C100" s="11" t="str">
        <x:v>Z09</x:v>
      </x:c>
      <x:c r="D100" s="11" t="n">
        <x:v>32</x:v>
      </x:c>
      <x:c r="E100" s="11" t="n">
        <x:v>6</x:v>
      </x:c>
      <x:c r="F100" s="11" t="n">
        <x:v>50</x:v>
      </x:c>
      <x:c r="G100" s="11" t="n">
        <x:v>18</x:v>
      </x:c>
      <x:c r="H100" s="20" t="n">
        <x:f>SQRT((D100-F100)^2+(E100-G100)^2)</x:f>
        <x:v>21.633307652783937</x:v>
      </x:c>
      <x:c r="I100" s="11" t="n">
        <x:v>3</x:v>
      </x:c>
      <x:c r="J100" s="11" t="n">
        <x:v>5</x:v>
      </x:c>
      <x:c r="K100" s="11" t="n">
        <x:v>8</x:v>
      </x:c>
      <x:c r="L100" s="11" t="n">
        <x:f>IF(H100&lt;=I100,1,0)</x:f>
        <x:v>0</x:v>
      </x:c>
      <x:c r="M100" s="11" t="n">
        <x:f>IF(H100&lt;=J100,1,0)</x:f>
        <x:v>0</x:v>
      </x:c>
      <x:c r="N100" s="11" t="n">
        <x:f>IF(H100&lt;=K100,1,0)</x:f>
        <x:v>0</x:v>
      </x:c>
      <x:c r="O100" s="11" t="n">
        <x:v>0</x:v>
      </x:c>
      <x:c r="P100" s="11" t="str">
        <x:v>합성 파생</x:v>
      </x:c>
      <x:c r="Q100" s="11" t="str">
        <x:v>평면 직선거리만 반영; 벽·높이·공조·가스 물성 미반영</x:v>
      </x:c>
    </x:row>
    <x:row r="101">
      <x:c r="A101" s="11" t="str">
        <x:v>C09</x:v>
      </x:c>
      <x:c r="B101" s="11" t="str">
        <x:v>Z04</x:v>
      </x:c>
      <x:c r="C101" s="11" t="str">
        <x:v>Z09</x:v>
      </x:c>
      <x:c r="D101" s="11" t="n">
        <x:v>32</x:v>
      </x:c>
      <x:c r="E101" s="11" t="n">
        <x:v>6</x:v>
      </x:c>
      <x:c r="F101" s="11" t="n">
        <x:v>19</x:v>
      </x:c>
      <x:c r="G101" s="11" t="n">
        <x:v>6</x:v>
      </x:c>
      <x:c r="H101" s="20" t="n">
        <x:f>SQRT((D101-F101)^2+(E101-G101)^2)</x:f>
        <x:v>13</x:v>
      </x:c>
      <x:c r="I101" s="11" t="n">
        <x:v>3</x:v>
      </x:c>
      <x:c r="J101" s="11" t="n">
        <x:v>5</x:v>
      </x:c>
      <x:c r="K101" s="11" t="n">
        <x:v>8</x:v>
      </x:c>
      <x:c r="L101" s="11" t="n">
        <x:f>IF(H101&lt;=I101,1,0)</x:f>
        <x:v>0</x:v>
      </x:c>
      <x:c r="M101" s="11" t="n">
        <x:f>IF(H101&lt;=J101,1,0)</x:f>
        <x:v>0</x:v>
      </x:c>
      <x:c r="N101" s="11" t="n">
        <x:f>IF(H101&lt;=K101,1,0)</x:f>
        <x:v>0</x:v>
      </x:c>
      <x:c r="O101" s="11" t="n">
        <x:v>0</x:v>
      </x:c>
      <x:c r="P101" s="11" t="str">
        <x:v>합성 파생</x:v>
      </x:c>
      <x:c r="Q101" s="11" t="str">
        <x:v>평면 직선거리만 반영; 벽·높이·공조·가스 물성 미반영</x:v>
      </x:c>
    </x:row>
    <x:row r="102">
      <x:c r="A102" s="11" t="str">
        <x:v>C09</x:v>
      </x:c>
      <x:c r="B102" s="11" t="str">
        <x:v>Z05</x:v>
      </x:c>
      <x:c r="C102" s="11" t="str">
        <x:v>Z09</x:v>
      </x:c>
      <x:c r="D102" s="11" t="n">
        <x:v>32</x:v>
      </x:c>
      <x:c r="E102" s="11" t="n">
        <x:v>6</x:v>
      </x:c>
      <x:c r="F102" s="11" t="n">
        <x:v>7</x:v>
      </x:c>
      <x:c r="G102" s="11" t="n">
        <x:v>6</x:v>
      </x:c>
      <x:c r="H102" s="20" t="n">
        <x:f>SQRT((D102-F102)^2+(E102-G102)^2)</x:f>
        <x:v>25</x:v>
      </x:c>
      <x:c r="I102" s="11" t="n">
        <x:v>3</x:v>
      </x:c>
      <x:c r="J102" s="11" t="n">
        <x:v>5</x:v>
      </x:c>
      <x:c r="K102" s="11" t="n">
        <x:v>8</x:v>
      </x:c>
      <x:c r="L102" s="11" t="n">
        <x:f>IF(H102&lt;=I102,1,0)</x:f>
        <x:v>0</x:v>
      </x:c>
      <x:c r="M102" s="11" t="n">
        <x:f>IF(H102&lt;=J102,1,0)</x:f>
        <x:v>0</x:v>
      </x:c>
      <x:c r="N102" s="11" t="n">
        <x:f>IF(H102&lt;=K102,1,0)</x:f>
        <x:v>0</x:v>
      </x:c>
      <x:c r="O102" s="11" t="n">
        <x:v>0</x:v>
      </x:c>
      <x:c r="P102" s="11" t="str">
        <x:v>합성 파생</x:v>
      </x:c>
      <x:c r="Q102" s="11" t="str">
        <x:v>평면 직선거리만 반영; 벽·높이·공조·가스 물성 미반영</x:v>
      </x:c>
    </x:row>
    <x:row r="103">
      <x:c r="A103" s="11" t="str">
        <x:v>C09</x:v>
      </x:c>
      <x:c r="B103" s="11" t="str">
        <x:v>Z06</x:v>
      </x:c>
      <x:c r="C103" s="11" t="str">
        <x:v>Z09</x:v>
      </x:c>
      <x:c r="D103" s="11" t="n">
        <x:v>32</x:v>
      </x:c>
      <x:c r="E103" s="11" t="n">
        <x:v>6</x:v>
      </x:c>
      <x:c r="F103" s="11" t="n">
        <x:v>8</x:v>
      </x:c>
      <x:c r="G103" s="11" t="n">
        <x:v>31</x:v>
      </x:c>
      <x:c r="H103" s="20" t="n">
        <x:f>SQRT((D103-F103)^2+(E103-G103)^2)</x:f>
        <x:v>34.655446902326915</x:v>
      </x:c>
      <x:c r="I103" s="11" t="n">
        <x:v>3</x:v>
      </x:c>
      <x:c r="J103" s="11" t="n">
        <x:v>5</x:v>
      </x:c>
      <x:c r="K103" s="11" t="n">
        <x:v>8</x:v>
      </x:c>
      <x:c r="L103" s="11" t="n">
        <x:f>IF(H103&lt;=I103,1,0)</x:f>
        <x:v>0</x:v>
      </x:c>
      <x:c r="M103" s="11" t="n">
        <x:f>IF(H103&lt;=J103,1,0)</x:f>
        <x:v>0</x:v>
      </x:c>
      <x:c r="N103" s="11" t="n">
        <x:f>IF(H103&lt;=K103,1,0)</x:f>
        <x:v>0</x:v>
      </x:c>
      <x:c r="O103" s="11" t="n">
        <x:v>0</x:v>
      </x:c>
      <x:c r="P103" s="11" t="str">
        <x:v>합성 파생</x:v>
      </x:c>
      <x:c r="Q103" s="11" t="str">
        <x:v>평면 직선거리만 반영; 벽·높이·공조·가스 물성 미반영</x:v>
      </x:c>
    </x:row>
    <x:row r="104">
      <x:c r="A104" s="11" t="str">
        <x:v>C09</x:v>
      </x:c>
      <x:c r="B104" s="11" t="str">
        <x:v>Z07</x:v>
      </x:c>
      <x:c r="C104" s="11" t="str">
        <x:v>Z09</x:v>
      </x:c>
      <x:c r="D104" s="11" t="n">
        <x:v>32</x:v>
      </x:c>
      <x:c r="E104" s="11" t="n">
        <x:v>6</x:v>
      </x:c>
      <x:c r="F104" s="11" t="n">
        <x:v>22</x:v>
      </x:c>
      <x:c r="G104" s="11" t="n">
        <x:v>31</x:v>
      </x:c>
      <x:c r="H104" s="20" t="n">
        <x:f>SQRT((D104-F104)^2+(E104-G104)^2)</x:f>
        <x:v>26.92582403567252</x:v>
      </x:c>
      <x:c r="I104" s="11" t="n">
        <x:v>3</x:v>
      </x:c>
      <x:c r="J104" s="11" t="n">
        <x:v>5</x:v>
      </x:c>
      <x:c r="K104" s="11" t="n">
        <x:v>8</x:v>
      </x:c>
      <x:c r="L104" s="11" t="n">
        <x:f>IF(H104&lt;=I104,1,0)</x:f>
        <x:v>0</x:v>
      </x:c>
      <x:c r="M104" s="11" t="n">
        <x:f>IF(H104&lt;=J104,1,0)</x:f>
        <x:v>0</x:v>
      </x:c>
      <x:c r="N104" s="11" t="n">
        <x:f>IF(H104&lt;=K104,1,0)</x:f>
        <x:v>0</x:v>
      </x:c>
      <x:c r="O104" s="11" t="n">
        <x:v>0</x:v>
      </x:c>
      <x:c r="P104" s="11" t="str">
        <x:v>합성 파생</x:v>
      </x:c>
      <x:c r="Q104" s="11" t="str">
        <x:v>평면 직선거리만 반영; 벽·높이·공조·가스 물성 미반영</x:v>
      </x:c>
    </x:row>
    <x:row r="105">
      <x:c r="A105" s="11" t="str">
        <x:v>C09</x:v>
      </x:c>
      <x:c r="B105" s="11" t="str">
        <x:v>Z08</x:v>
      </x:c>
      <x:c r="C105" s="11" t="str">
        <x:v>Z09</x:v>
      </x:c>
      <x:c r="D105" s="11" t="n">
        <x:v>32</x:v>
      </x:c>
      <x:c r="E105" s="11" t="n">
        <x:v>6</x:v>
      </x:c>
      <x:c r="F105" s="11" t="n">
        <x:v>44</x:v>
      </x:c>
      <x:c r="G105" s="11" t="n">
        <x:v>6</x:v>
      </x:c>
      <x:c r="H105" s="20" t="n">
        <x:f>SQRT((D105-F105)^2+(E105-G105)^2)</x:f>
        <x:v>12</x:v>
      </x:c>
      <x:c r="I105" s="11" t="n">
        <x:v>3</x:v>
      </x:c>
      <x:c r="J105" s="11" t="n">
        <x:v>5</x:v>
      </x:c>
      <x:c r="K105" s="11" t="n">
        <x:v>8</x:v>
      </x:c>
      <x:c r="L105" s="11" t="n">
        <x:f>IF(H105&lt;=I105,1,0)</x:f>
        <x:v>0</x:v>
      </x:c>
      <x:c r="M105" s="11" t="n">
        <x:f>IF(H105&lt;=J105,1,0)</x:f>
        <x:v>0</x:v>
      </x:c>
      <x:c r="N105" s="11" t="n">
        <x:f>IF(H105&lt;=K105,1,0)</x:f>
        <x:v>0</x:v>
      </x:c>
      <x:c r="O105" s="11" t="n">
        <x:v>0</x:v>
      </x:c>
      <x:c r="P105" s="11" t="str">
        <x:v>합성 파생</x:v>
      </x:c>
      <x:c r="Q105" s="11" t="str">
        <x:v>평면 직선거리만 반영; 벽·높이·공조·가스 물성 미반영</x:v>
      </x:c>
    </x:row>
    <x:row r="106">
      <x:c r="A106" s="11" t="str">
        <x:v>C09</x:v>
      </x:c>
      <x:c r="B106" s="11" t="str">
        <x:v>Z09</x:v>
      </x:c>
      <x:c r="C106" s="11" t="str">
        <x:v>Z09</x:v>
      </x:c>
      <x:c r="D106" s="11" t="n">
        <x:v>32</x:v>
      </x:c>
      <x:c r="E106" s="11" t="n">
        <x:v>6</x:v>
      </x:c>
      <x:c r="F106" s="11" t="n">
        <x:v>32</x:v>
      </x:c>
      <x:c r="G106" s="11" t="n">
        <x:v>6</x:v>
      </x:c>
      <x:c r="H106" s="20" t="n">
        <x:f>SQRT((D106-F106)^2+(E106-G106)^2)</x:f>
        <x:v>0</x:v>
      </x:c>
      <x:c r="I106" s="11" t="n">
        <x:v>3</x:v>
      </x:c>
      <x:c r="J106" s="11" t="n">
        <x:v>5</x:v>
      </x:c>
      <x:c r="K106" s="11" t="n">
        <x:v>8</x:v>
      </x:c>
      <x:c r="L106" s="11" t="n">
        <x:f>IF(H106&lt;=I106,1,0)</x:f>
        <x:v>1</x:v>
      </x:c>
      <x:c r="M106" s="11" t="n">
        <x:f>IF(H106&lt;=J106,1,0)</x:f>
        <x:v>1</x:v>
      </x:c>
      <x:c r="N106" s="11" t="n">
        <x:f>IF(H106&lt;=K106,1,0)</x:f>
        <x:v>1</x:v>
      </x:c>
      <x:c r="O106" s="11" t="n">
        <x:v>1</x:v>
      </x:c>
      <x:c r="P106" s="11" t="str">
        <x:v>합성 파생</x:v>
      </x:c>
      <x:c r="Q106" s="11" t="str">
        <x:v>평면 직선거리만 반영; 벽·높이·공조·가스 물성 미반영</x:v>
      </x:c>
    </x:row>
    <x:row r="107">
      <x:c r="A107" s="11" t="str">
        <x:v>C09</x:v>
      </x:c>
      <x:c r="B107" s="11" t="str">
        <x:v>Z10</x:v>
      </x:c>
      <x:c r="C107" s="11" t="str">
        <x:v>Z09</x:v>
      </x:c>
      <x:c r="D107" s="11" t="n">
        <x:v>32</x:v>
      </x:c>
      <x:c r="E107" s="11" t="n">
        <x:v>6</x:v>
      </x:c>
      <x:c r="F107" s="11" t="n">
        <x:v>53</x:v>
      </x:c>
      <x:c r="G107" s="11" t="n">
        <x:v>31</x:v>
      </x:c>
      <x:c r="H107" s="20" t="n">
        <x:f>SQRT((D107-F107)^2+(E107-G107)^2)</x:f>
        <x:v>32.64965543462902</x:v>
      </x:c>
      <x:c r="I107" s="11" t="n">
        <x:v>3</x:v>
      </x:c>
      <x:c r="J107" s="11" t="n">
        <x:v>5</x:v>
      </x:c>
      <x:c r="K107" s="11" t="n">
        <x:v>8</x:v>
      </x:c>
      <x:c r="L107" s="11" t="n">
        <x:f>IF(H107&lt;=I107,1,0)</x:f>
        <x:v>0</x:v>
      </x:c>
      <x:c r="M107" s="11" t="n">
        <x:f>IF(H107&lt;=J107,1,0)</x:f>
        <x:v>0</x:v>
      </x:c>
      <x:c r="N107" s="11" t="n">
        <x:f>IF(H107&lt;=K107,1,0)</x:f>
        <x:v>0</x:v>
      </x:c>
      <x:c r="O107" s="11" t="n">
        <x:v>0</x:v>
      </x:c>
      <x:c r="P107" s="11" t="str">
        <x:v>합성 파생</x:v>
      </x:c>
      <x:c r="Q107" s="11" t="str">
        <x:v>평면 직선거리만 반영; 벽·높이·공조·가스 물성 미반영</x:v>
      </x:c>
    </x:row>
    <x:row r="108">
      <x:c r="A108" s="11" t="str">
        <x:v>C09</x:v>
      </x:c>
      <x:c r="B108" s="11" t="str">
        <x:v>Z11</x:v>
      </x:c>
      <x:c r="C108" s="11" t="str">
        <x:v>Z09</x:v>
      </x:c>
      <x:c r="D108" s="11" t="n">
        <x:v>32</x:v>
      </x:c>
      <x:c r="E108" s="11" t="n">
        <x:v>6</x:v>
      </x:c>
      <x:c r="F108" s="11" t="n">
        <x:v>38</x:v>
      </x:c>
      <x:c r="G108" s="11" t="n">
        <x:v>31</x:v>
      </x:c>
      <x:c r="H108" s="20" t="n">
        <x:f>SQRT((D108-F108)^2+(E108-G108)^2)</x:f>
        <x:v>25.709920264364882</x:v>
      </x:c>
      <x:c r="I108" s="11" t="n">
        <x:v>3</x:v>
      </x:c>
      <x:c r="J108" s="11" t="n">
        <x:v>5</x:v>
      </x:c>
      <x:c r="K108" s="11" t="n">
        <x:v>8</x:v>
      </x:c>
      <x:c r="L108" s="11" t="n">
        <x:f>IF(H108&lt;=I108,1,0)</x:f>
        <x:v>0</x:v>
      </x:c>
      <x:c r="M108" s="11" t="n">
        <x:f>IF(H108&lt;=J108,1,0)</x:f>
        <x:v>0</x:v>
      </x:c>
      <x:c r="N108" s="11" t="n">
        <x:f>IF(H108&lt;=K108,1,0)</x:f>
        <x:v>0</x:v>
      </x:c>
      <x:c r="O108" s="11" t="n">
        <x:v>0</x:v>
      </x:c>
      <x:c r="P108" s="11" t="str">
        <x:v>합성 파생</x:v>
      </x:c>
      <x:c r="Q108" s="11" t="str">
        <x:v>평면 직선거리만 반영; 벽·높이·공조·가스 물성 미반영</x:v>
      </x:c>
    </x:row>
    <x:row r="109">
      <x:c r="A109" s="11" t="str">
        <x:v>C09</x:v>
      </x:c>
      <x:c r="B109" s="11" t="str">
        <x:v>Z12</x:v>
      </x:c>
      <x:c r="C109" s="11" t="str">
        <x:v>Z09</x:v>
      </x:c>
      <x:c r="D109" s="11" t="n">
        <x:v>32</x:v>
      </x:c>
      <x:c r="E109" s="11" t="n">
        <x:v>6</x:v>
      </x:c>
      <x:c r="F109" s="11" t="n">
        <x:v>54</x:v>
      </x:c>
      <x:c r="G109" s="11" t="n">
        <x:v>6</x:v>
      </x:c>
      <x:c r="H109" s="20" t="n">
        <x:f>SQRT((D109-F109)^2+(E109-G109)^2)</x:f>
        <x:v>22</x:v>
      </x:c>
      <x:c r="I109" s="11" t="n">
        <x:v>3</x:v>
      </x:c>
      <x:c r="J109" s="11" t="n">
        <x:v>5</x:v>
      </x:c>
      <x:c r="K109" s="11" t="n">
        <x:v>8</x:v>
      </x:c>
      <x:c r="L109" s="11" t="n">
        <x:f>IF(H109&lt;=I109,1,0)</x:f>
        <x:v>0</x:v>
      </x:c>
      <x:c r="M109" s="11" t="n">
        <x:f>IF(H109&lt;=J109,1,0)</x:f>
        <x:v>0</x:v>
      </x:c>
      <x:c r="N109" s="11" t="n">
        <x:f>IF(H109&lt;=K109,1,0)</x:f>
        <x:v>0</x:v>
      </x:c>
      <x:c r="O109" s="11" t="n">
        <x:v>0</x:v>
      </x:c>
      <x:c r="P109" s="11" t="str">
        <x:v>합성 파생</x:v>
      </x:c>
      <x:c r="Q109" s="11" t="str">
        <x:v>평면 직선거리만 반영; 벽·높이·공조·가스 물성 미반영</x:v>
      </x:c>
    </x:row>
    <x:row r="110">
      <x:c r="A110" s="11" t="str">
        <x:v>C10</x:v>
      </x:c>
      <x:c r="B110" s="11" t="str">
        <x:v>Z01</x:v>
      </x:c>
      <x:c r="C110" s="11" t="str">
        <x:v>Z10</x:v>
      </x:c>
      <x:c r="D110" s="11" t="n">
        <x:v>53</x:v>
      </x:c>
      <x:c r="E110" s="11" t="n">
        <x:v>31</x:v>
      </x:c>
      <x:c r="F110" s="11" t="n">
        <x:v>11</x:v>
      </x:c>
      <x:c r="G110" s="11" t="n">
        <x:v>18</x:v>
      </x:c>
      <x:c r="H110" s="20" t="n">
        <x:f>SQRT((D110-F110)^2+(E110-G110)^2)</x:f>
        <x:v>43.965895873961216</x:v>
      </x:c>
      <x:c r="I110" s="11" t="n">
        <x:v>3</x:v>
      </x:c>
      <x:c r="J110" s="11" t="n">
        <x:v>5</x:v>
      </x:c>
      <x:c r="K110" s="11" t="n">
        <x:v>8</x:v>
      </x:c>
      <x:c r="L110" s="11" t="n">
        <x:f>IF(H110&lt;=I110,1,0)</x:f>
        <x:v>0</x:v>
      </x:c>
      <x:c r="M110" s="11" t="n">
        <x:f>IF(H110&lt;=J110,1,0)</x:f>
        <x:v>0</x:v>
      </x:c>
      <x:c r="N110" s="11" t="n">
        <x:f>IF(H110&lt;=K110,1,0)</x:f>
        <x:v>0</x:v>
      </x:c>
      <x:c r="O110" s="11" t="n">
        <x:v>0</x:v>
      </x:c>
      <x:c r="P110" s="11" t="str">
        <x:v>합성 파생</x:v>
      </x:c>
      <x:c r="Q110" s="11" t="str">
        <x:v>평면 직선거리만 반영; 벽·높이·공조·가스 물성 미반영</x:v>
      </x:c>
    </x:row>
    <x:row r="111">
      <x:c r="A111" s="11" t="str">
        <x:v>C10</x:v>
      </x:c>
      <x:c r="B111" s="11" t="str">
        <x:v>Z02</x:v>
      </x:c>
      <x:c r="C111" s="11" t="str">
        <x:v>Z10</x:v>
      </x:c>
      <x:c r="D111" s="11" t="n">
        <x:v>53</x:v>
      </x:c>
      <x:c r="E111" s="11" t="n">
        <x:v>31</x:v>
      </x:c>
      <x:c r="F111" s="11" t="n">
        <x:v>31</x:v>
      </x:c>
      <x:c r="G111" s="11" t="n">
        <x:v>18</x:v>
      </x:c>
      <x:c r="H111" s="20" t="n">
        <x:f>SQRT((D111-F111)^2+(E111-G111)^2)</x:f>
        <x:v>25.553864678361276</x:v>
      </x:c>
      <x:c r="I111" s="11" t="n">
        <x:v>3</x:v>
      </x:c>
      <x:c r="J111" s="11" t="n">
        <x:v>5</x:v>
      </x:c>
      <x:c r="K111" s="11" t="n">
        <x:v>8</x:v>
      </x:c>
      <x:c r="L111" s="11" t="n">
        <x:f>IF(H111&lt;=I111,1,0)</x:f>
        <x:v>0</x:v>
      </x:c>
      <x:c r="M111" s="11" t="n">
        <x:f>IF(H111&lt;=J111,1,0)</x:f>
        <x:v>0</x:v>
      </x:c>
      <x:c r="N111" s="11" t="n">
        <x:f>IF(H111&lt;=K111,1,0)</x:f>
        <x:v>0</x:v>
      </x:c>
      <x:c r="O111" s="11" t="n">
        <x:v>0</x:v>
      </x:c>
      <x:c r="P111" s="11" t="str">
        <x:v>합성 파생</x:v>
      </x:c>
      <x:c r="Q111" s="11" t="str">
        <x:v>평면 직선거리만 반영; 벽·높이·공조·가스 물성 미반영</x:v>
      </x:c>
    </x:row>
    <x:row r="112">
      <x:c r="A112" s="11" t="str">
        <x:v>C10</x:v>
      </x:c>
      <x:c r="B112" s="11" t="str">
        <x:v>Z03</x:v>
      </x:c>
      <x:c r="C112" s="11" t="str">
        <x:v>Z10</x:v>
      </x:c>
      <x:c r="D112" s="11" t="n">
        <x:v>53</x:v>
      </x:c>
      <x:c r="E112" s="11" t="n">
        <x:v>31</x:v>
      </x:c>
      <x:c r="F112" s="11" t="n">
        <x:v>50</x:v>
      </x:c>
      <x:c r="G112" s="11" t="n">
        <x:v>18</x:v>
      </x:c>
      <x:c r="H112" s="20" t="n">
        <x:f>SQRT((D112-F112)^2+(E112-G112)^2)</x:f>
        <x:v>13.341664064126334</x:v>
      </x:c>
      <x:c r="I112" s="11" t="n">
        <x:v>3</x:v>
      </x:c>
      <x:c r="J112" s="11" t="n">
        <x:v>5</x:v>
      </x:c>
      <x:c r="K112" s="11" t="n">
        <x:v>8</x:v>
      </x:c>
      <x:c r="L112" s="11" t="n">
        <x:f>IF(H112&lt;=I112,1,0)</x:f>
        <x:v>0</x:v>
      </x:c>
      <x:c r="M112" s="11" t="n">
        <x:f>IF(H112&lt;=J112,1,0)</x:f>
        <x:v>0</x:v>
      </x:c>
      <x:c r="N112" s="11" t="n">
        <x:f>IF(H112&lt;=K112,1,0)</x:f>
        <x:v>0</x:v>
      </x:c>
      <x:c r="O112" s="11" t="n">
        <x:v>0</x:v>
      </x:c>
      <x:c r="P112" s="11" t="str">
        <x:v>합성 파생</x:v>
      </x:c>
      <x:c r="Q112" s="11" t="str">
        <x:v>평면 직선거리만 반영; 벽·높이·공조·가스 물성 미반영</x:v>
      </x:c>
    </x:row>
    <x:row r="113">
      <x:c r="A113" s="11" t="str">
        <x:v>C10</x:v>
      </x:c>
      <x:c r="B113" s="11" t="str">
        <x:v>Z04</x:v>
      </x:c>
      <x:c r="C113" s="11" t="str">
        <x:v>Z10</x:v>
      </x:c>
      <x:c r="D113" s="11" t="n">
        <x:v>53</x:v>
      </x:c>
      <x:c r="E113" s="11" t="n">
        <x:v>31</x:v>
      </x:c>
      <x:c r="F113" s="11" t="n">
        <x:v>19</x:v>
      </x:c>
      <x:c r="G113" s="11" t="n">
        <x:v>6</x:v>
      </x:c>
      <x:c r="H113" s="20" t="n">
        <x:f>SQRT((D113-F113)^2+(E113-G113)^2)</x:f>
        <x:v>42.20189569201838</x:v>
      </x:c>
      <x:c r="I113" s="11" t="n">
        <x:v>3</x:v>
      </x:c>
      <x:c r="J113" s="11" t="n">
        <x:v>5</x:v>
      </x:c>
      <x:c r="K113" s="11" t="n">
        <x:v>8</x:v>
      </x:c>
      <x:c r="L113" s="11" t="n">
        <x:f>IF(H113&lt;=I113,1,0)</x:f>
        <x:v>0</x:v>
      </x:c>
      <x:c r="M113" s="11" t="n">
        <x:f>IF(H113&lt;=J113,1,0)</x:f>
        <x:v>0</x:v>
      </x:c>
      <x:c r="N113" s="11" t="n">
        <x:f>IF(H113&lt;=K113,1,0)</x:f>
        <x:v>0</x:v>
      </x:c>
      <x:c r="O113" s="11" t="n">
        <x:v>0</x:v>
      </x:c>
      <x:c r="P113" s="11" t="str">
        <x:v>합성 파생</x:v>
      </x:c>
      <x:c r="Q113" s="11" t="str">
        <x:v>평면 직선거리만 반영; 벽·높이·공조·가스 물성 미반영</x:v>
      </x:c>
    </x:row>
    <x:row r="114">
      <x:c r="A114" s="11" t="str">
        <x:v>C10</x:v>
      </x:c>
      <x:c r="B114" s="11" t="str">
        <x:v>Z05</x:v>
      </x:c>
      <x:c r="C114" s="11" t="str">
        <x:v>Z10</x:v>
      </x:c>
      <x:c r="D114" s="11" t="n">
        <x:v>53</x:v>
      </x:c>
      <x:c r="E114" s="11" t="n">
        <x:v>31</x:v>
      </x:c>
      <x:c r="F114" s="11" t="n">
        <x:v>7</x:v>
      </x:c>
      <x:c r="G114" s="11" t="n">
        <x:v>6</x:v>
      </x:c>
      <x:c r="H114" s="20" t="n">
        <x:f>SQRT((D114-F114)^2+(E114-G114)^2)</x:f>
        <x:v>52.354560450833695</x:v>
      </x:c>
      <x:c r="I114" s="11" t="n">
        <x:v>3</x:v>
      </x:c>
      <x:c r="J114" s="11" t="n">
        <x:v>5</x:v>
      </x:c>
      <x:c r="K114" s="11" t="n">
        <x:v>8</x:v>
      </x:c>
      <x:c r="L114" s="11" t="n">
        <x:f>IF(H114&lt;=I114,1,0)</x:f>
        <x:v>0</x:v>
      </x:c>
      <x:c r="M114" s="11" t="n">
        <x:f>IF(H114&lt;=J114,1,0)</x:f>
        <x:v>0</x:v>
      </x:c>
      <x:c r="N114" s="11" t="n">
        <x:f>IF(H114&lt;=K114,1,0)</x:f>
        <x:v>0</x:v>
      </x:c>
      <x:c r="O114" s="11" t="n">
        <x:v>0</x:v>
      </x:c>
      <x:c r="P114" s="11" t="str">
        <x:v>합성 파생</x:v>
      </x:c>
      <x:c r="Q114" s="11" t="str">
        <x:v>평면 직선거리만 반영; 벽·높이·공조·가스 물성 미반영</x:v>
      </x:c>
    </x:row>
    <x:row r="115">
      <x:c r="A115" s="11" t="str">
        <x:v>C10</x:v>
      </x:c>
      <x:c r="B115" s="11" t="str">
        <x:v>Z06</x:v>
      </x:c>
      <x:c r="C115" s="11" t="str">
        <x:v>Z10</x:v>
      </x:c>
      <x:c r="D115" s="11" t="n">
        <x:v>53</x:v>
      </x:c>
      <x:c r="E115" s="11" t="n">
        <x:v>31</x:v>
      </x:c>
      <x:c r="F115" s="11" t="n">
        <x:v>8</x:v>
      </x:c>
      <x:c r="G115" s="11" t="n">
        <x:v>31</x:v>
      </x:c>
      <x:c r="H115" s="20" t="n">
        <x:f>SQRT((D115-F115)^2+(E115-G115)^2)</x:f>
        <x:v>45</x:v>
      </x:c>
      <x:c r="I115" s="11" t="n">
        <x:v>3</x:v>
      </x:c>
      <x:c r="J115" s="11" t="n">
        <x:v>5</x:v>
      </x:c>
      <x:c r="K115" s="11" t="n">
        <x:v>8</x:v>
      </x:c>
      <x:c r="L115" s="11" t="n">
        <x:f>IF(H115&lt;=I115,1,0)</x:f>
        <x:v>0</x:v>
      </x:c>
      <x:c r="M115" s="11" t="n">
        <x:f>IF(H115&lt;=J115,1,0)</x:f>
        <x:v>0</x:v>
      </x:c>
      <x:c r="N115" s="11" t="n">
        <x:f>IF(H115&lt;=K115,1,0)</x:f>
        <x:v>0</x:v>
      </x:c>
      <x:c r="O115" s="11" t="n">
        <x:v>0</x:v>
      </x:c>
      <x:c r="P115" s="11" t="str">
        <x:v>합성 파생</x:v>
      </x:c>
      <x:c r="Q115" s="11" t="str">
        <x:v>평면 직선거리만 반영; 벽·높이·공조·가스 물성 미반영</x:v>
      </x:c>
    </x:row>
    <x:row r="116">
      <x:c r="A116" s="11" t="str">
        <x:v>C10</x:v>
      </x:c>
      <x:c r="B116" s="11" t="str">
        <x:v>Z07</x:v>
      </x:c>
      <x:c r="C116" s="11" t="str">
        <x:v>Z10</x:v>
      </x:c>
      <x:c r="D116" s="11" t="n">
        <x:v>53</x:v>
      </x:c>
      <x:c r="E116" s="11" t="n">
        <x:v>31</x:v>
      </x:c>
      <x:c r="F116" s="11" t="n">
        <x:v>22</x:v>
      </x:c>
      <x:c r="G116" s="11" t="n">
        <x:v>31</x:v>
      </x:c>
      <x:c r="H116" s="20" t="n">
        <x:f>SQRT((D116-F116)^2+(E116-G116)^2)</x:f>
        <x:v>31</x:v>
      </x:c>
      <x:c r="I116" s="11" t="n">
        <x:v>3</x:v>
      </x:c>
      <x:c r="J116" s="11" t="n">
        <x:v>5</x:v>
      </x:c>
      <x:c r="K116" s="11" t="n">
        <x:v>8</x:v>
      </x:c>
      <x:c r="L116" s="11" t="n">
        <x:f>IF(H116&lt;=I116,1,0)</x:f>
        <x:v>0</x:v>
      </x:c>
      <x:c r="M116" s="11" t="n">
        <x:f>IF(H116&lt;=J116,1,0)</x:f>
        <x:v>0</x:v>
      </x:c>
      <x:c r="N116" s="11" t="n">
        <x:f>IF(H116&lt;=K116,1,0)</x:f>
        <x:v>0</x:v>
      </x:c>
      <x:c r="O116" s="11" t="n">
        <x:v>0</x:v>
      </x:c>
      <x:c r="P116" s="11" t="str">
        <x:v>합성 파생</x:v>
      </x:c>
      <x:c r="Q116" s="11" t="str">
        <x:v>평면 직선거리만 반영; 벽·높이·공조·가스 물성 미반영</x:v>
      </x:c>
    </x:row>
    <x:row r="117">
      <x:c r="A117" s="11" t="str">
        <x:v>C10</x:v>
      </x:c>
      <x:c r="B117" s="11" t="str">
        <x:v>Z08</x:v>
      </x:c>
      <x:c r="C117" s="11" t="str">
        <x:v>Z10</x:v>
      </x:c>
      <x:c r="D117" s="11" t="n">
        <x:v>53</x:v>
      </x:c>
      <x:c r="E117" s="11" t="n">
        <x:v>31</x:v>
      </x:c>
      <x:c r="F117" s="11" t="n">
        <x:v>44</x:v>
      </x:c>
      <x:c r="G117" s="11" t="n">
        <x:v>6</x:v>
      </x:c>
      <x:c r="H117" s="20" t="n">
        <x:f>SQRT((D117-F117)^2+(E117-G117)^2)</x:f>
        <x:v>26.570660511172846</x:v>
      </x:c>
      <x:c r="I117" s="11" t="n">
        <x:v>3</x:v>
      </x:c>
      <x:c r="J117" s="11" t="n">
        <x:v>5</x:v>
      </x:c>
      <x:c r="K117" s="11" t="n">
        <x:v>8</x:v>
      </x:c>
      <x:c r="L117" s="11" t="n">
        <x:f>IF(H117&lt;=I117,1,0)</x:f>
        <x:v>0</x:v>
      </x:c>
      <x:c r="M117" s="11" t="n">
        <x:f>IF(H117&lt;=J117,1,0)</x:f>
        <x:v>0</x:v>
      </x:c>
      <x:c r="N117" s="11" t="n">
        <x:f>IF(H117&lt;=K117,1,0)</x:f>
        <x:v>0</x:v>
      </x:c>
      <x:c r="O117" s="11" t="n">
        <x:v>0</x:v>
      </x:c>
      <x:c r="P117" s="11" t="str">
        <x:v>합성 파생</x:v>
      </x:c>
      <x:c r="Q117" s="11" t="str">
        <x:v>평면 직선거리만 반영; 벽·높이·공조·가스 물성 미반영</x:v>
      </x:c>
    </x:row>
    <x:row r="118">
      <x:c r="A118" s="11" t="str">
        <x:v>C10</x:v>
      </x:c>
      <x:c r="B118" s="11" t="str">
        <x:v>Z09</x:v>
      </x:c>
      <x:c r="C118" s="11" t="str">
        <x:v>Z10</x:v>
      </x:c>
      <x:c r="D118" s="11" t="n">
        <x:v>53</x:v>
      </x:c>
      <x:c r="E118" s="11" t="n">
        <x:v>31</x:v>
      </x:c>
      <x:c r="F118" s="11" t="n">
        <x:v>32</x:v>
      </x:c>
      <x:c r="G118" s="11" t="n">
        <x:v>6</x:v>
      </x:c>
      <x:c r="H118" s="20" t="n">
        <x:f>SQRT((D118-F118)^2+(E118-G118)^2)</x:f>
        <x:v>32.64965543462902</x:v>
      </x:c>
      <x:c r="I118" s="11" t="n">
        <x:v>3</x:v>
      </x:c>
      <x:c r="J118" s="11" t="n">
        <x:v>5</x:v>
      </x:c>
      <x:c r="K118" s="11" t="n">
        <x:v>8</x:v>
      </x:c>
      <x:c r="L118" s="11" t="n">
        <x:f>IF(H118&lt;=I118,1,0)</x:f>
        <x:v>0</x:v>
      </x:c>
      <x:c r="M118" s="11" t="n">
        <x:f>IF(H118&lt;=J118,1,0)</x:f>
        <x:v>0</x:v>
      </x:c>
      <x:c r="N118" s="11" t="n">
        <x:f>IF(H118&lt;=K118,1,0)</x:f>
        <x:v>0</x:v>
      </x:c>
      <x:c r="O118" s="11" t="n">
        <x:v>0</x:v>
      </x:c>
      <x:c r="P118" s="11" t="str">
        <x:v>합성 파생</x:v>
      </x:c>
      <x:c r="Q118" s="11" t="str">
        <x:v>평면 직선거리만 반영; 벽·높이·공조·가스 물성 미반영</x:v>
      </x:c>
    </x:row>
    <x:row r="119">
      <x:c r="A119" s="11" t="str">
        <x:v>C10</x:v>
      </x:c>
      <x:c r="B119" s="11" t="str">
        <x:v>Z10</x:v>
      </x:c>
      <x:c r="C119" s="11" t="str">
        <x:v>Z10</x:v>
      </x:c>
      <x:c r="D119" s="11" t="n">
        <x:v>53</x:v>
      </x:c>
      <x:c r="E119" s="11" t="n">
        <x:v>31</x:v>
      </x:c>
      <x:c r="F119" s="11" t="n">
        <x:v>53</x:v>
      </x:c>
      <x:c r="G119" s="11" t="n">
        <x:v>31</x:v>
      </x:c>
      <x:c r="H119" s="20" t="n">
        <x:f>SQRT((D119-F119)^2+(E119-G119)^2)</x:f>
        <x:v>0</x:v>
      </x:c>
      <x:c r="I119" s="11" t="n">
        <x:v>3</x:v>
      </x:c>
      <x:c r="J119" s="11" t="n">
        <x:v>5</x:v>
      </x:c>
      <x:c r="K119" s="11" t="n">
        <x:v>8</x:v>
      </x:c>
      <x:c r="L119" s="11" t="n">
        <x:f>IF(H119&lt;=I119,1,0)</x:f>
        <x:v>1</x:v>
      </x:c>
      <x:c r="M119" s="11" t="n">
        <x:f>IF(H119&lt;=J119,1,0)</x:f>
        <x:v>1</x:v>
      </x:c>
      <x:c r="N119" s="11" t="n">
        <x:f>IF(H119&lt;=K119,1,0)</x:f>
        <x:v>1</x:v>
      </x:c>
      <x:c r="O119" s="11" t="n">
        <x:v>1</x:v>
      </x:c>
      <x:c r="P119" s="11" t="str">
        <x:v>합성 파생</x:v>
      </x:c>
      <x:c r="Q119" s="11" t="str">
        <x:v>평면 직선거리만 반영; 벽·높이·공조·가스 물성 미반영</x:v>
      </x:c>
    </x:row>
    <x:row r="120">
      <x:c r="A120" s="11" t="str">
        <x:v>C10</x:v>
      </x:c>
      <x:c r="B120" s="11" t="str">
        <x:v>Z11</x:v>
      </x:c>
      <x:c r="C120" s="11" t="str">
        <x:v>Z10</x:v>
      </x:c>
      <x:c r="D120" s="11" t="n">
        <x:v>53</x:v>
      </x:c>
      <x:c r="E120" s="11" t="n">
        <x:v>31</x:v>
      </x:c>
      <x:c r="F120" s="11" t="n">
        <x:v>38</x:v>
      </x:c>
      <x:c r="G120" s="11" t="n">
        <x:v>31</x:v>
      </x:c>
      <x:c r="H120" s="20" t="n">
        <x:f>SQRT((D120-F120)^2+(E120-G120)^2)</x:f>
        <x:v>15</x:v>
      </x:c>
      <x:c r="I120" s="11" t="n">
        <x:v>3</x:v>
      </x:c>
      <x:c r="J120" s="11" t="n">
        <x:v>5</x:v>
      </x:c>
      <x:c r="K120" s="11" t="n">
        <x:v>8</x:v>
      </x:c>
      <x:c r="L120" s="11" t="n">
        <x:f>IF(H120&lt;=I120,1,0)</x:f>
        <x:v>0</x:v>
      </x:c>
      <x:c r="M120" s="11" t="n">
        <x:f>IF(H120&lt;=J120,1,0)</x:f>
        <x:v>0</x:v>
      </x:c>
      <x:c r="N120" s="11" t="n">
        <x:f>IF(H120&lt;=K120,1,0)</x:f>
        <x:v>0</x:v>
      </x:c>
      <x:c r="O120" s="11" t="n">
        <x:v>0</x:v>
      </x:c>
      <x:c r="P120" s="11" t="str">
        <x:v>합성 파생</x:v>
      </x:c>
      <x:c r="Q120" s="11" t="str">
        <x:v>평면 직선거리만 반영; 벽·높이·공조·가스 물성 미반영</x:v>
      </x:c>
    </x:row>
    <x:row r="121">
      <x:c r="A121" s="11" t="str">
        <x:v>C10</x:v>
      </x:c>
      <x:c r="B121" s="11" t="str">
        <x:v>Z12</x:v>
      </x:c>
      <x:c r="C121" s="11" t="str">
        <x:v>Z10</x:v>
      </x:c>
      <x:c r="D121" s="11" t="n">
        <x:v>53</x:v>
      </x:c>
      <x:c r="E121" s="11" t="n">
        <x:v>31</x:v>
      </x:c>
      <x:c r="F121" s="11" t="n">
        <x:v>54</x:v>
      </x:c>
      <x:c r="G121" s="11" t="n">
        <x:v>6</x:v>
      </x:c>
      <x:c r="H121" s="20" t="n">
        <x:f>SQRT((D121-F121)^2+(E121-G121)^2)</x:f>
        <x:v>25.019992006393608</x:v>
      </x:c>
      <x:c r="I121" s="11" t="n">
        <x:v>3</x:v>
      </x:c>
      <x:c r="J121" s="11" t="n">
        <x:v>5</x:v>
      </x:c>
      <x:c r="K121" s="11" t="n">
        <x:v>8</x:v>
      </x:c>
      <x:c r="L121" s="11" t="n">
        <x:f>IF(H121&lt;=I121,1,0)</x:f>
        <x:v>0</x:v>
      </x:c>
      <x:c r="M121" s="11" t="n">
        <x:f>IF(H121&lt;=J121,1,0)</x:f>
        <x:v>0</x:v>
      </x:c>
      <x:c r="N121" s="11" t="n">
        <x:f>IF(H121&lt;=K121,1,0)</x:f>
        <x:v>0</x:v>
      </x:c>
      <x:c r="O121" s="11" t="n">
        <x:v>0</x:v>
      </x:c>
      <x:c r="P121" s="11" t="str">
        <x:v>합성 파생</x:v>
      </x:c>
      <x:c r="Q121" s="11" t="str">
        <x:v>평면 직선거리만 반영; 벽·높이·공조·가스 물성 미반영</x:v>
      </x:c>
    </x:row>
    <x:row r="122">
      <x:c r="A122" s="11" t="str">
        <x:v>C11</x:v>
      </x:c>
      <x:c r="B122" s="11" t="str">
        <x:v>Z01</x:v>
      </x:c>
      <x:c r="C122" s="11" t="str">
        <x:v>Z11</x:v>
      </x:c>
      <x:c r="D122" s="11" t="n">
        <x:v>38</x:v>
      </x:c>
      <x:c r="E122" s="11" t="n">
        <x:v>31</x:v>
      </x:c>
      <x:c r="F122" s="11" t="n">
        <x:v>11</x:v>
      </x:c>
      <x:c r="G122" s="11" t="n">
        <x:v>18</x:v>
      </x:c>
      <x:c r="H122" s="20" t="n">
        <x:f>SQRT((D122-F122)^2+(E122-G122)^2)</x:f>
        <x:v>29.966648127543394</x:v>
      </x:c>
      <x:c r="I122" s="11" t="n">
        <x:v>3</x:v>
      </x:c>
      <x:c r="J122" s="11" t="n">
        <x:v>5</x:v>
      </x:c>
      <x:c r="K122" s="11" t="n">
        <x:v>8</x:v>
      </x:c>
      <x:c r="L122" s="11" t="n">
        <x:f>IF(H122&lt;=I122,1,0)</x:f>
        <x:v>0</x:v>
      </x:c>
      <x:c r="M122" s="11" t="n">
        <x:f>IF(H122&lt;=J122,1,0)</x:f>
        <x:v>0</x:v>
      </x:c>
      <x:c r="N122" s="11" t="n">
        <x:f>IF(H122&lt;=K122,1,0)</x:f>
        <x:v>0</x:v>
      </x:c>
      <x:c r="O122" s="11" t="n">
        <x:v>0</x:v>
      </x:c>
      <x:c r="P122" s="11" t="str">
        <x:v>합성 파생</x:v>
      </x:c>
      <x:c r="Q122" s="11" t="str">
        <x:v>평면 직선거리만 반영; 벽·높이·공조·가스 물성 미반영</x:v>
      </x:c>
    </x:row>
    <x:row r="123">
      <x:c r="A123" s="11" t="str">
        <x:v>C11</x:v>
      </x:c>
      <x:c r="B123" s="11" t="str">
        <x:v>Z02</x:v>
      </x:c>
      <x:c r="C123" s="11" t="str">
        <x:v>Z11</x:v>
      </x:c>
      <x:c r="D123" s="11" t="n">
        <x:v>38</x:v>
      </x:c>
      <x:c r="E123" s="11" t="n">
        <x:v>31</x:v>
      </x:c>
      <x:c r="F123" s="11" t="n">
        <x:v>31</x:v>
      </x:c>
      <x:c r="G123" s="11" t="n">
        <x:v>18</x:v>
      </x:c>
      <x:c r="H123" s="20" t="n">
        <x:f>SQRT((D123-F123)^2+(E123-G123)^2)</x:f>
        <x:v>14.7648230602334</x:v>
      </x:c>
      <x:c r="I123" s="11" t="n">
        <x:v>3</x:v>
      </x:c>
      <x:c r="J123" s="11" t="n">
        <x:v>5</x:v>
      </x:c>
      <x:c r="K123" s="11" t="n">
        <x:v>8</x:v>
      </x:c>
      <x:c r="L123" s="11" t="n">
        <x:f>IF(H123&lt;=I123,1,0)</x:f>
        <x:v>0</x:v>
      </x:c>
      <x:c r="M123" s="11" t="n">
        <x:f>IF(H123&lt;=J123,1,0)</x:f>
        <x:v>0</x:v>
      </x:c>
      <x:c r="N123" s="11" t="n">
        <x:f>IF(H123&lt;=K123,1,0)</x:f>
        <x:v>0</x:v>
      </x:c>
      <x:c r="O123" s="11" t="n">
        <x:v>0</x:v>
      </x:c>
      <x:c r="P123" s="11" t="str">
        <x:v>합성 파생</x:v>
      </x:c>
      <x:c r="Q123" s="11" t="str">
        <x:v>평면 직선거리만 반영; 벽·높이·공조·가스 물성 미반영</x:v>
      </x:c>
    </x:row>
    <x:row r="124">
      <x:c r="A124" s="11" t="str">
        <x:v>C11</x:v>
      </x:c>
      <x:c r="B124" s="11" t="str">
        <x:v>Z03</x:v>
      </x:c>
      <x:c r="C124" s="11" t="str">
        <x:v>Z11</x:v>
      </x:c>
      <x:c r="D124" s="11" t="n">
        <x:v>38</x:v>
      </x:c>
      <x:c r="E124" s="11" t="n">
        <x:v>31</x:v>
      </x:c>
      <x:c r="F124" s="11" t="n">
        <x:v>50</x:v>
      </x:c>
      <x:c r="G124" s="11" t="n">
        <x:v>18</x:v>
      </x:c>
      <x:c r="H124" s="20" t="n">
        <x:f>SQRT((D124-F124)^2+(E124-G124)^2)</x:f>
        <x:v>17.69180601295413</x:v>
      </x:c>
      <x:c r="I124" s="11" t="n">
        <x:v>3</x:v>
      </x:c>
      <x:c r="J124" s="11" t="n">
        <x:v>5</x:v>
      </x:c>
      <x:c r="K124" s="11" t="n">
        <x:v>8</x:v>
      </x:c>
      <x:c r="L124" s="11" t="n">
        <x:f>IF(H124&lt;=I124,1,0)</x:f>
        <x:v>0</x:v>
      </x:c>
      <x:c r="M124" s="11" t="n">
        <x:f>IF(H124&lt;=J124,1,0)</x:f>
        <x:v>0</x:v>
      </x:c>
      <x:c r="N124" s="11" t="n">
        <x:f>IF(H124&lt;=K124,1,0)</x:f>
        <x:v>0</x:v>
      </x:c>
      <x:c r="O124" s="11" t="n">
        <x:v>0</x:v>
      </x:c>
      <x:c r="P124" s="11" t="str">
        <x:v>합성 파생</x:v>
      </x:c>
      <x:c r="Q124" s="11" t="str">
        <x:v>평면 직선거리만 반영; 벽·높이·공조·가스 물성 미반영</x:v>
      </x:c>
    </x:row>
    <x:row r="125">
      <x:c r="A125" s="11" t="str">
        <x:v>C11</x:v>
      </x:c>
      <x:c r="B125" s="11" t="str">
        <x:v>Z04</x:v>
      </x:c>
      <x:c r="C125" s="11" t="str">
        <x:v>Z11</x:v>
      </x:c>
      <x:c r="D125" s="11" t="n">
        <x:v>38</x:v>
      </x:c>
      <x:c r="E125" s="11" t="n">
        <x:v>31</x:v>
      </x:c>
      <x:c r="F125" s="11" t="n">
        <x:v>19</x:v>
      </x:c>
      <x:c r="G125" s="11" t="n">
        <x:v>6</x:v>
      </x:c>
      <x:c r="H125" s="20" t="n">
        <x:f>SQRT((D125-F125)^2+(E125-G125)^2)</x:f>
        <x:v>31.400636936215164</x:v>
      </x:c>
      <x:c r="I125" s="11" t="n">
        <x:v>3</x:v>
      </x:c>
      <x:c r="J125" s="11" t="n">
        <x:v>5</x:v>
      </x:c>
      <x:c r="K125" s="11" t="n">
        <x:v>8</x:v>
      </x:c>
      <x:c r="L125" s="11" t="n">
        <x:f>IF(H125&lt;=I125,1,0)</x:f>
        <x:v>0</x:v>
      </x:c>
      <x:c r="M125" s="11" t="n">
        <x:f>IF(H125&lt;=J125,1,0)</x:f>
        <x:v>0</x:v>
      </x:c>
      <x:c r="N125" s="11" t="n">
        <x:f>IF(H125&lt;=K125,1,0)</x:f>
        <x:v>0</x:v>
      </x:c>
      <x:c r="O125" s="11" t="n">
        <x:v>0</x:v>
      </x:c>
      <x:c r="P125" s="11" t="str">
        <x:v>합성 파생</x:v>
      </x:c>
      <x:c r="Q125" s="11" t="str">
        <x:v>평면 직선거리만 반영; 벽·높이·공조·가스 물성 미반영</x:v>
      </x:c>
    </x:row>
    <x:row r="126">
      <x:c r="A126" s="11" t="str">
        <x:v>C11</x:v>
      </x:c>
      <x:c r="B126" s="11" t="str">
        <x:v>Z05</x:v>
      </x:c>
      <x:c r="C126" s="11" t="str">
        <x:v>Z11</x:v>
      </x:c>
      <x:c r="D126" s="11" t="n">
        <x:v>38</x:v>
      </x:c>
      <x:c r="E126" s="11" t="n">
        <x:v>31</x:v>
      </x:c>
      <x:c r="F126" s="11" t="n">
        <x:v>7</x:v>
      </x:c>
      <x:c r="G126" s="11" t="n">
        <x:v>6</x:v>
      </x:c>
      <x:c r="H126" s="20" t="n">
        <x:f>SQRT((D126-F126)^2+(E126-G126)^2)</x:f>
        <x:v>39.824615503479755</x:v>
      </x:c>
      <x:c r="I126" s="11" t="n">
        <x:v>3</x:v>
      </x:c>
      <x:c r="J126" s="11" t="n">
        <x:v>5</x:v>
      </x:c>
      <x:c r="K126" s="11" t="n">
        <x:v>8</x:v>
      </x:c>
      <x:c r="L126" s="11" t="n">
        <x:f>IF(H126&lt;=I126,1,0)</x:f>
        <x:v>0</x:v>
      </x:c>
      <x:c r="M126" s="11" t="n">
        <x:f>IF(H126&lt;=J126,1,0)</x:f>
        <x:v>0</x:v>
      </x:c>
      <x:c r="N126" s="11" t="n">
        <x:f>IF(H126&lt;=K126,1,0)</x:f>
        <x:v>0</x:v>
      </x:c>
      <x:c r="O126" s="11" t="n">
        <x:v>0</x:v>
      </x:c>
      <x:c r="P126" s="11" t="str">
        <x:v>합성 파생</x:v>
      </x:c>
      <x:c r="Q126" s="11" t="str">
        <x:v>평면 직선거리만 반영; 벽·높이·공조·가스 물성 미반영</x:v>
      </x:c>
    </x:row>
    <x:row r="127">
      <x:c r="A127" s="11" t="str">
        <x:v>C11</x:v>
      </x:c>
      <x:c r="B127" s="11" t="str">
        <x:v>Z06</x:v>
      </x:c>
      <x:c r="C127" s="11" t="str">
        <x:v>Z11</x:v>
      </x:c>
      <x:c r="D127" s="11" t="n">
        <x:v>38</x:v>
      </x:c>
      <x:c r="E127" s="11" t="n">
        <x:v>31</x:v>
      </x:c>
      <x:c r="F127" s="11" t="n">
        <x:v>8</x:v>
      </x:c>
      <x:c r="G127" s="11" t="n">
        <x:v>31</x:v>
      </x:c>
      <x:c r="H127" s="20" t="n">
        <x:f>SQRT((D127-F127)^2+(E127-G127)^2)</x:f>
        <x:v>30</x:v>
      </x:c>
      <x:c r="I127" s="11" t="n">
        <x:v>3</x:v>
      </x:c>
      <x:c r="J127" s="11" t="n">
        <x:v>5</x:v>
      </x:c>
      <x:c r="K127" s="11" t="n">
        <x:v>8</x:v>
      </x:c>
      <x:c r="L127" s="11" t="n">
        <x:f>IF(H127&lt;=I127,1,0)</x:f>
        <x:v>0</x:v>
      </x:c>
      <x:c r="M127" s="11" t="n">
        <x:f>IF(H127&lt;=J127,1,0)</x:f>
        <x:v>0</x:v>
      </x:c>
      <x:c r="N127" s="11" t="n">
        <x:f>IF(H127&lt;=K127,1,0)</x:f>
        <x:v>0</x:v>
      </x:c>
      <x:c r="O127" s="11" t="n">
        <x:v>0</x:v>
      </x:c>
      <x:c r="P127" s="11" t="str">
        <x:v>합성 파생</x:v>
      </x:c>
      <x:c r="Q127" s="11" t="str">
        <x:v>평면 직선거리만 반영; 벽·높이·공조·가스 물성 미반영</x:v>
      </x:c>
    </x:row>
    <x:row r="128">
      <x:c r="A128" s="11" t="str">
        <x:v>C11</x:v>
      </x:c>
      <x:c r="B128" s="11" t="str">
        <x:v>Z07</x:v>
      </x:c>
      <x:c r="C128" s="11" t="str">
        <x:v>Z11</x:v>
      </x:c>
      <x:c r="D128" s="11" t="n">
        <x:v>38</x:v>
      </x:c>
      <x:c r="E128" s="11" t="n">
        <x:v>31</x:v>
      </x:c>
      <x:c r="F128" s="11" t="n">
        <x:v>22</x:v>
      </x:c>
      <x:c r="G128" s="11" t="n">
        <x:v>31</x:v>
      </x:c>
      <x:c r="H128" s="20" t="n">
        <x:f>SQRT((D128-F128)^2+(E128-G128)^2)</x:f>
        <x:v>16</x:v>
      </x:c>
      <x:c r="I128" s="11" t="n">
        <x:v>3</x:v>
      </x:c>
      <x:c r="J128" s="11" t="n">
        <x:v>5</x:v>
      </x:c>
      <x:c r="K128" s="11" t="n">
        <x:v>8</x:v>
      </x:c>
      <x:c r="L128" s="11" t="n">
        <x:f>IF(H128&lt;=I128,1,0)</x:f>
        <x:v>0</x:v>
      </x:c>
      <x:c r="M128" s="11" t="n">
        <x:f>IF(H128&lt;=J128,1,0)</x:f>
        <x:v>0</x:v>
      </x:c>
      <x:c r="N128" s="11" t="n">
        <x:f>IF(H128&lt;=K128,1,0)</x:f>
        <x:v>0</x:v>
      </x:c>
      <x:c r="O128" s="11" t="n">
        <x:v>0</x:v>
      </x:c>
      <x:c r="P128" s="11" t="str">
        <x:v>합성 파생</x:v>
      </x:c>
      <x:c r="Q128" s="11" t="str">
        <x:v>평면 직선거리만 반영; 벽·높이·공조·가스 물성 미반영</x:v>
      </x:c>
    </x:row>
    <x:row r="129">
      <x:c r="A129" s="11" t="str">
        <x:v>C11</x:v>
      </x:c>
      <x:c r="B129" s="11" t="str">
        <x:v>Z08</x:v>
      </x:c>
      <x:c r="C129" s="11" t="str">
        <x:v>Z11</x:v>
      </x:c>
      <x:c r="D129" s="11" t="n">
        <x:v>38</x:v>
      </x:c>
      <x:c r="E129" s="11" t="n">
        <x:v>31</x:v>
      </x:c>
      <x:c r="F129" s="11" t="n">
        <x:v>44</x:v>
      </x:c>
      <x:c r="G129" s="11" t="n">
        <x:v>6</x:v>
      </x:c>
      <x:c r="H129" s="20" t="n">
        <x:f>SQRT((D129-F129)^2+(E129-G129)^2)</x:f>
        <x:v>25.709920264364882</x:v>
      </x:c>
      <x:c r="I129" s="11" t="n">
        <x:v>3</x:v>
      </x:c>
      <x:c r="J129" s="11" t="n">
        <x:v>5</x:v>
      </x:c>
      <x:c r="K129" s="11" t="n">
        <x:v>8</x:v>
      </x:c>
      <x:c r="L129" s="11" t="n">
        <x:f>IF(H129&lt;=I129,1,0)</x:f>
        <x:v>0</x:v>
      </x:c>
      <x:c r="M129" s="11" t="n">
        <x:f>IF(H129&lt;=J129,1,0)</x:f>
        <x:v>0</x:v>
      </x:c>
      <x:c r="N129" s="11" t="n">
        <x:f>IF(H129&lt;=K129,1,0)</x:f>
        <x:v>0</x:v>
      </x:c>
      <x:c r="O129" s="11" t="n">
        <x:v>0</x:v>
      </x:c>
      <x:c r="P129" s="11" t="str">
        <x:v>합성 파생</x:v>
      </x:c>
      <x:c r="Q129" s="11" t="str">
        <x:v>평면 직선거리만 반영; 벽·높이·공조·가스 물성 미반영</x:v>
      </x:c>
    </x:row>
    <x:row r="130">
      <x:c r="A130" s="11" t="str">
        <x:v>C11</x:v>
      </x:c>
      <x:c r="B130" s="11" t="str">
        <x:v>Z09</x:v>
      </x:c>
      <x:c r="C130" s="11" t="str">
        <x:v>Z11</x:v>
      </x:c>
      <x:c r="D130" s="11" t="n">
        <x:v>38</x:v>
      </x:c>
      <x:c r="E130" s="11" t="n">
        <x:v>31</x:v>
      </x:c>
      <x:c r="F130" s="11" t="n">
        <x:v>32</x:v>
      </x:c>
      <x:c r="G130" s="11" t="n">
        <x:v>6</x:v>
      </x:c>
      <x:c r="H130" s="20" t="n">
        <x:f>SQRT((D130-F130)^2+(E130-G130)^2)</x:f>
        <x:v>25.709920264364882</x:v>
      </x:c>
      <x:c r="I130" s="11" t="n">
        <x:v>3</x:v>
      </x:c>
      <x:c r="J130" s="11" t="n">
        <x:v>5</x:v>
      </x:c>
      <x:c r="K130" s="11" t="n">
        <x:v>8</x:v>
      </x:c>
      <x:c r="L130" s="11" t="n">
        <x:f>IF(H130&lt;=I130,1,0)</x:f>
        <x:v>0</x:v>
      </x:c>
      <x:c r="M130" s="11" t="n">
        <x:f>IF(H130&lt;=J130,1,0)</x:f>
        <x:v>0</x:v>
      </x:c>
      <x:c r="N130" s="11" t="n">
        <x:f>IF(H130&lt;=K130,1,0)</x:f>
        <x:v>0</x:v>
      </x:c>
      <x:c r="O130" s="11" t="n">
        <x:v>0</x:v>
      </x:c>
      <x:c r="P130" s="11" t="str">
        <x:v>합성 파생</x:v>
      </x:c>
      <x:c r="Q130" s="11" t="str">
        <x:v>평면 직선거리만 반영; 벽·높이·공조·가스 물성 미반영</x:v>
      </x:c>
    </x:row>
    <x:row r="131">
      <x:c r="A131" s="11" t="str">
        <x:v>C11</x:v>
      </x:c>
      <x:c r="B131" s="11" t="str">
        <x:v>Z10</x:v>
      </x:c>
      <x:c r="C131" s="11" t="str">
        <x:v>Z11</x:v>
      </x:c>
      <x:c r="D131" s="11" t="n">
        <x:v>38</x:v>
      </x:c>
      <x:c r="E131" s="11" t="n">
        <x:v>31</x:v>
      </x:c>
      <x:c r="F131" s="11" t="n">
        <x:v>53</x:v>
      </x:c>
      <x:c r="G131" s="11" t="n">
        <x:v>31</x:v>
      </x:c>
      <x:c r="H131" s="20" t="n">
        <x:f>SQRT((D131-F131)^2+(E131-G131)^2)</x:f>
        <x:v>15</x:v>
      </x:c>
      <x:c r="I131" s="11" t="n">
        <x:v>3</x:v>
      </x:c>
      <x:c r="J131" s="11" t="n">
        <x:v>5</x:v>
      </x:c>
      <x:c r="K131" s="11" t="n">
        <x:v>8</x:v>
      </x:c>
      <x:c r="L131" s="11" t="n">
        <x:f>IF(H131&lt;=I131,1,0)</x:f>
        <x:v>0</x:v>
      </x:c>
      <x:c r="M131" s="11" t="n">
        <x:f>IF(H131&lt;=J131,1,0)</x:f>
        <x:v>0</x:v>
      </x:c>
      <x:c r="N131" s="11" t="n">
        <x:f>IF(H131&lt;=K131,1,0)</x:f>
        <x:v>0</x:v>
      </x:c>
      <x:c r="O131" s="11" t="n">
        <x:v>0</x:v>
      </x:c>
      <x:c r="P131" s="11" t="str">
        <x:v>합성 파생</x:v>
      </x:c>
      <x:c r="Q131" s="11" t="str">
        <x:v>평면 직선거리만 반영; 벽·높이·공조·가스 물성 미반영</x:v>
      </x:c>
    </x:row>
    <x:row r="132">
      <x:c r="A132" s="11" t="str">
        <x:v>C11</x:v>
      </x:c>
      <x:c r="B132" s="11" t="str">
        <x:v>Z11</x:v>
      </x:c>
      <x:c r="C132" s="11" t="str">
        <x:v>Z11</x:v>
      </x:c>
      <x:c r="D132" s="11" t="n">
        <x:v>38</x:v>
      </x:c>
      <x:c r="E132" s="11" t="n">
        <x:v>31</x:v>
      </x:c>
      <x:c r="F132" s="11" t="n">
        <x:v>38</x:v>
      </x:c>
      <x:c r="G132" s="11" t="n">
        <x:v>31</x:v>
      </x:c>
      <x:c r="H132" s="20" t="n">
        <x:f>SQRT((D132-F132)^2+(E132-G132)^2)</x:f>
        <x:v>0</x:v>
      </x:c>
      <x:c r="I132" s="11" t="n">
        <x:v>3</x:v>
      </x:c>
      <x:c r="J132" s="11" t="n">
        <x:v>5</x:v>
      </x:c>
      <x:c r="K132" s="11" t="n">
        <x:v>8</x:v>
      </x:c>
      <x:c r="L132" s="11" t="n">
        <x:f>IF(H132&lt;=I132,1,0)</x:f>
        <x:v>1</x:v>
      </x:c>
      <x:c r="M132" s="11" t="n">
        <x:f>IF(H132&lt;=J132,1,0)</x:f>
        <x:v>1</x:v>
      </x:c>
      <x:c r="N132" s="11" t="n">
        <x:f>IF(H132&lt;=K132,1,0)</x:f>
        <x:v>1</x:v>
      </x:c>
      <x:c r="O132" s="11" t="n">
        <x:v>1</x:v>
      </x:c>
      <x:c r="P132" s="11" t="str">
        <x:v>합성 파생</x:v>
      </x:c>
      <x:c r="Q132" s="11" t="str">
        <x:v>평면 직선거리만 반영; 벽·높이·공조·가스 물성 미반영</x:v>
      </x:c>
    </x:row>
    <x:row r="133">
      <x:c r="A133" s="11" t="str">
        <x:v>C11</x:v>
      </x:c>
      <x:c r="B133" s="11" t="str">
        <x:v>Z12</x:v>
      </x:c>
      <x:c r="C133" s="11" t="str">
        <x:v>Z11</x:v>
      </x:c>
      <x:c r="D133" s="11" t="n">
        <x:v>38</x:v>
      </x:c>
      <x:c r="E133" s="11" t="n">
        <x:v>31</x:v>
      </x:c>
      <x:c r="F133" s="11" t="n">
        <x:v>54</x:v>
      </x:c>
      <x:c r="G133" s="11" t="n">
        <x:v>6</x:v>
      </x:c>
      <x:c r="H133" s="20" t="n">
        <x:f>SQRT((D133-F133)^2+(E133-G133)^2)</x:f>
        <x:v>29.68164415931166</x:v>
      </x:c>
      <x:c r="I133" s="11" t="n">
        <x:v>3</x:v>
      </x:c>
      <x:c r="J133" s="11" t="n">
        <x:v>5</x:v>
      </x:c>
      <x:c r="K133" s="11" t="n">
        <x:v>8</x:v>
      </x:c>
      <x:c r="L133" s="11" t="n">
        <x:f>IF(H133&lt;=I133,1,0)</x:f>
        <x:v>0</x:v>
      </x:c>
      <x:c r="M133" s="11" t="n">
        <x:f>IF(H133&lt;=J133,1,0)</x:f>
        <x:v>0</x:v>
      </x:c>
      <x:c r="N133" s="11" t="n">
        <x:f>IF(H133&lt;=K133,1,0)</x:f>
        <x:v>0</x:v>
      </x:c>
      <x:c r="O133" s="11" t="n">
        <x:v>0</x:v>
      </x:c>
      <x:c r="P133" s="11" t="str">
        <x:v>합성 파생</x:v>
      </x:c>
      <x:c r="Q133" s="11" t="str">
        <x:v>평면 직선거리만 반영; 벽·높이·공조·가스 물성 미반영</x:v>
      </x:c>
    </x:row>
    <x:row r="134">
      <x:c r="A134" s="11" t="str">
        <x:v>C12</x:v>
      </x:c>
      <x:c r="B134" s="11" t="str">
        <x:v>Z01</x:v>
      </x:c>
      <x:c r="C134" s="11" t="str">
        <x:v>Z12</x:v>
      </x:c>
      <x:c r="D134" s="11" t="n">
        <x:v>54</x:v>
      </x:c>
      <x:c r="E134" s="11" t="n">
        <x:v>6</x:v>
      </x:c>
      <x:c r="F134" s="11" t="n">
        <x:v>11</x:v>
      </x:c>
      <x:c r="G134" s="11" t="n">
        <x:v>18</x:v>
      </x:c>
      <x:c r="H134" s="20" t="n">
        <x:f>SQRT((D134-F134)^2+(E134-G134)^2)</x:f>
        <x:v>44.64302857109943</x:v>
      </x:c>
      <x:c r="I134" s="11" t="n">
        <x:v>3</x:v>
      </x:c>
      <x:c r="J134" s="11" t="n">
        <x:v>5</x:v>
      </x:c>
      <x:c r="K134" s="11" t="n">
        <x:v>8</x:v>
      </x:c>
      <x:c r="L134" s="11" t="n">
        <x:f>IF(H134&lt;=I134,1,0)</x:f>
        <x:v>0</x:v>
      </x:c>
      <x:c r="M134" s="11" t="n">
        <x:f>IF(H134&lt;=J134,1,0)</x:f>
        <x:v>0</x:v>
      </x:c>
      <x:c r="N134" s="11" t="n">
        <x:f>IF(H134&lt;=K134,1,0)</x:f>
        <x:v>0</x:v>
      </x:c>
      <x:c r="O134" s="11" t="n">
        <x:v>0</x:v>
      </x:c>
      <x:c r="P134" s="11" t="str">
        <x:v>합성 파생</x:v>
      </x:c>
      <x:c r="Q134" s="11" t="str">
        <x:v>평면 직선거리만 반영; 벽·높이·공조·가스 물성 미반영</x:v>
      </x:c>
    </x:row>
    <x:row r="135">
      <x:c r="A135" s="11" t="str">
        <x:v>C12</x:v>
      </x:c>
      <x:c r="B135" s="11" t="str">
        <x:v>Z02</x:v>
      </x:c>
      <x:c r="C135" s="11" t="str">
        <x:v>Z12</x:v>
      </x:c>
      <x:c r="D135" s="11" t="n">
        <x:v>54</x:v>
      </x:c>
      <x:c r="E135" s="11" t="n">
        <x:v>6</x:v>
      </x:c>
      <x:c r="F135" s="11" t="n">
        <x:v>31</x:v>
      </x:c>
      <x:c r="G135" s="11" t="n">
        <x:v>18</x:v>
      </x:c>
      <x:c r="H135" s="20" t="n">
        <x:f>SQRT((D135-F135)^2+(E135-G135)^2)</x:f>
        <x:v>25.942243542145693</x:v>
      </x:c>
      <x:c r="I135" s="11" t="n">
        <x:v>3</x:v>
      </x:c>
      <x:c r="J135" s="11" t="n">
        <x:v>5</x:v>
      </x:c>
      <x:c r="K135" s="11" t="n">
        <x:v>8</x:v>
      </x:c>
      <x:c r="L135" s="11" t="n">
        <x:f>IF(H135&lt;=I135,1,0)</x:f>
        <x:v>0</x:v>
      </x:c>
      <x:c r="M135" s="11" t="n">
        <x:f>IF(H135&lt;=J135,1,0)</x:f>
        <x:v>0</x:v>
      </x:c>
      <x:c r="N135" s="11" t="n">
        <x:f>IF(H135&lt;=K135,1,0)</x:f>
        <x:v>0</x:v>
      </x:c>
      <x:c r="O135" s="11" t="n">
        <x:v>0</x:v>
      </x:c>
      <x:c r="P135" s="11" t="str">
        <x:v>합성 파생</x:v>
      </x:c>
      <x:c r="Q135" s="11" t="str">
        <x:v>평면 직선거리만 반영; 벽·높이·공조·가스 물성 미반영</x:v>
      </x:c>
    </x:row>
    <x:row r="136">
      <x:c r="A136" s="11" t="str">
        <x:v>C12</x:v>
      </x:c>
      <x:c r="B136" s="11" t="str">
        <x:v>Z03</x:v>
      </x:c>
      <x:c r="C136" s="11" t="str">
        <x:v>Z12</x:v>
      </x:c>
      <x:c r="D136" s="11" t="n">
        <x:v>54</x:v>
      </x:c>
      <x:c r="E136" s="11" t="n">
        <x:v>6</x:v>
      </x:c>
      <x:c r="F136" s="11" t="n">
        <x:v>50</x:v>
      </x:c>
      <x:c r="G136" s="11" t="n">
        <x:v>18</x:v>
      </x:c>
      <x:c r="H136" s="20" t="n">
        <x:f>SQRT((D136-F136)^2+(E136-G136)^2)</x:f>
        <x:v>12.649110640673518</x:v>
      </x:c>
      <x:c r="I136" s="11" t="n">
        <x:v>3</x:v>
      </x:c>
      <x:c r="J136" s="11" t="n">
        <x:v>5</x:v>
      </x:c>
      <x:c r="K136" s="11" t="n">
        <x:v>8</x:v>
      </x:c>
      <x:c r="L136" s="11" t="n">
        <x:f>IF(H136&lt;=I136,1,0)</x:f>
        <x:v>0</x:v>
      </x:c>
      <x:c r="M136" s="11" t="n">
        <x:f>IF(H136&lt;=J136,1,0)</x:f>
        <x:v>0</x:v>
      </x:c>
      <x:c r="N136" s="11" t="n">
        <x:f>IF(H136&lt;=K136,1,0)</x:f>
        <x:v>0</x:v>
      </x:c>
      <x:c r="O136" s="11" t="n">
        <x:v>0</x:v>
      </x:c>
      <x:c r="P136" s="11" t="str">
        <x:v>합성 파생</x:v>
      </x:c>
      <x:c r="Q136" s="11" t="str">
        <x:v>평면 직선거리만 반영; 벽·높이·공조·가스 물성 미반영</x:v>
      </x:c>
    </x:row>
    <x:row r="137">
      <x:c r="A137" s="11" t="str">
        <x:v>C12</x:v>
      </x:c>
      <x:c r="B137" s="11" t="str">
        <x:v>Z04</x:v>
      </x:c>
      <x:c r="C137" s="11" t="str">
        <x:v>Z12</x:v>
      </x:c>
      <x:c r="D137" s="11" t="n">
        <x:v>54</x:v>
      </x:c>
      <x:c r="E137" s="11" t="n">
        <x:v>6</x:v>
      </x:c>
      <x:c r="F137" s="11" t="n">
        <x:v>19</x:v>
      </x:c>
      <x:c r="G137" s="11" t="n">
        <x:v>6</x:v>
      </x:c>
      <x:c r="H137" s="20" t="n">
        <x:f>SQRT((D137-F137)^2+(E137-G137)^2)</x:f>
        <x:v>35</x:v>
      </x:c>
      <x:c r="I137" s="11" t="n">
        <x:v>3</x:v>
      </x:c>
      <x:c r="J137" s="11" t="n">
        <x:v>5</x:v>
      </x:c>
      <x:c r="K137" s="11" t="n">
        <x:v>8</x:v>
      </x:c>
      <x:c r="L137" s="11" t="n">
        <x:f>IF(H137&lt;=I137,1,0)</x:f>
        <x:v>0</x:v>
      </x:c>
      <x:c r="M137" s="11" t="n">
        <x:f>IF(H137&lt;=J137,1,0)</x:f>
        <x:v>0</x:v>
      </x:c>
      <x:c r="N137" s="11" t="n">
        <x:f>IF(H137&lt;=K137,1,0)</x:f>
        <x:v>0</x:v>
      </x:c>
      <x:c r="O137" s="11" t="n">
        <x:v>0</x:v>
      </x:c>
      <x:c r="P137" s="11" t="str">
        <x:v>합성 파생</x:v>
      </x:c>
      <x:c r="Q137" s="11" t="str">
        <x:v>평면 직선거리만 반영; 벽·높이·공조·가스 물성 미반영</x:v>
      </x:c>
    </x:row>
    <x:row r="138">
      <x:c r="A138" s="11" t="str">
        <x:v>C12</x:v>
      </x:c>
      <x:c r="B138" s="11" t="str">
        <x:v>Z05</x:v>
      </x:c>
      <x:c r="C138" s="11" t="str">
        <x:v>Z12</x:v>
      </x:c>
      <x:c r="D138" s="11" t="n">
        <x:v>54</x:v>
      </x:c>
      <x:c r="E138" s="11" t="n">
        <x:v>6</x:v>
      </x:c>
      <x:c r="F138" s="11" t="n">
        <x:v>7</x:v>
      </x:c>
      <x:c r="G138" s="11" t="n">
        <x:v>6</x:v>
      </x:c>
      <x:c r="H138" s="20" t="n">
        <x:f>SQRT((D138-F138)^2+(E138-G138)^2)</x:f>
        <x:v>47</x:v>
      </x:c>
      <x:c r="I138" s="11" t="n">
        <x:v>3</x:v>
      </x:c>
      <x:c r="J138" s="11" t="n">
        <x:v>5</x:v>
      </x:c>
      <x:c r="K138" s="11" t="n">
        <x:v>8</x:v>
      </x:c>
      <x:c r="L138" s="11" t="n">
        <x:f>IF(H138&lt;=I138,1,0)</x:f>
        <x:v>0</x:v>
      </x:c>
      <x:c r="M138" s="11" t="n">
        <x:f>IF(H138&lt;=J138,1,0)</x:f>
        <x:v>0</x:v>
      </x:c>
      <x:c r="N138" s="11" t="n">
        <x:f>IF(H138&lt;=K138,1,0)</x:f>
        <x:v>0</x:v>
      </x:c>
      <x:c r="O138" s="11" t="n">
        <x:v>0</x:v>
      </x:c>
      <x:c r="P138" s="11" t="str">
        <x:v>합성 파생</x:v>
      </x:c>
      <x:c r="Q138" s="11" t="str">
        <x:v>평면 직선거리만 반영; 벽·높이·공조·가스 물성 미반영</x:v>
      </x:c>
    </x:row>
    <x:row r="139">
      <x:c r="A139" s="11" t="str">
        <x:v>C12</x:v>
      </x:c>
      <x:c r="B139" s="11" t="str">
        <x:v>Z06</x:v>
      </x:c>
      <x:c r="C139" s="11" t="str">
        <x:v>Z12</x:v>
      </x:c>
      <x:c r="D139" s="11" t="n">
        <x:v>54</x:v>
      </x:c>
      <x:c r="E139" s="11" t="n">
        <x:v>6</x:v>
      </x:c>
      <x:c r="F139" s="11" t="n">
        <x:v>8</x:v>
      </x:c>
      <x:c r="G139" s="11" t="n">
        <x:v>31</x:v>
      </x:c>
      <x:c r="H139" s="20" t="n">
        <x:f>SQRT((D139-F139)^2+(E139-G139)^2)</x:f>
        <x:v>52.354560450833695</x:v>
      </x:c>
      <x:c r="I139" s="11" t="n">
        <x:v>3</x:v>
      </x:c>
      <x:c r="J139" s="11" t="n">
        <x:v>5</x:v>
      </x:c>
      <x:c r="K139" s="11" t="n">
        <x:v>8</x:v>
      </x:c>
      <x:c r="L139" s="11" t="n">
        <x:f>IF(H139&lt;=I139,1,0)</x:f>
        <x:v>0</x:v>
      </x:c>
      <x:c r="M139" s="11" t="n">
        <x:f>IF(H139&lt;=J139,1,0)</x:f>
        <x:v>0</x:v>
      </x:c>
      <x:c r="N139" s="11" t="n">
        <x:f>IF(H139&lt;=K139,1,0)</x:f>
        <x:v>0</x:v>
      </x:c>
      <x:c r="O139" s="11" t="n">
        <x:v>0</x:v>
      </x:c>
      <x:c r="P139" s="11" t="str">
        <x:v>합성 파생</x:v>
      </x:c>
      <x:c r="Q139" s="11" t="str">
        <x:v>평면 직선거리만 반영; 벽·높이·공조·가스 물성 미반영</x:v>
      </x:c>
    </x:row>
    <x:row r="140">
      <x:c r="A140" s="11" t="str">
        <x:v>C12</x:v>
      </x:c>
      <x:c r="B140" s="11" t="str">
        <x:v>Z07</x:v>
      </x:c>
      <x:c r="C140" s="11" t="str">
        <x:v>Z12</x:v>
      </x:c>
      <x:c r="D140" s="11" t="n">
        <x:v>54</x:v>
      </x:c>
      <x:c r="E140" s="11" t="n">
        <x:v>6</x:v>
      </x:c>
      <x:c r="F140" s="11" t="n">
        <x:v>22</x:v>
      </x:c>
      <x:c r="G140" s="11" t="n">
        <x:v>31</x:v>
      </x:c>
      <x:c r="H140" s="20" t="n">
        <x:f>SQRT((D140-F140)^2+(E140-G140)^2)</x:f>
        <x:v>40.607881008493905</x:v>
      </x:c>
      <x:c r="I140" s="11" t="n">
        <x:v>3</x:v>
      </x:c>
      <x:c r="J140" s="11" t="n">
        <x:v>5</x:v>
      </x:c>
      <x:c r="K140" s="11" t="n">
        <x:v>8</x:v>
      </x:c>
      <x:c r="L140" s="11" t="n">
        <x:f>IF(H140&lt;=I140,1,0)</x:f>
        <x:v>0</x:v>
      </x:c>
      <x:c r="M140" s="11" t="n">
        <x:f>IF(H140&lt;=J140,1,0)</x:f>
        <x:v>0</x:v>
      </x:c>
      <x:c r="N140" s="11" t="n">
        <x:f>IF(H140&lt;=K140,1,0)</x:f>
        <x:v>0</x:v>
      </x:c>
      <x:c r="O140" s="11" t="n">
        <x:v>0</x:v>
      </x:c>
      <x:c r="P140" s="11" t="str">
        <x:v>합성 파생</x:v>
      </x:c>
      <x:c r="Q140" s="11" t="str">
        <x:v>평면 직선거리만 반영; 벽·높이·공조·가스 물성 미반영</x:v>
      </x:c>
    </x:row>
    <x:row r="141">
      <x:c r="A141" s="11" t="str">
        <x:v>C12</x:v>
      </x:c>
      <x:c r="B141" s="11" t="str">
        <x:v>Z08</x:v>
      </x:c>
      <x:c r="C141" s="11" t="str">
        <x:v>Z12</x:v>
      </x:c>
      <x:c r="D141" s="11" t="n">
        <x:v>54</x:v>
      </x:c>
      <x:c r="E141" s="11" t="n">
        <x:v>6</x:v>
      </x:c>
      <x:c r="F141" s="11" t="n">
        <x:v>44</x:v>
      </x:c>
      <x:c r="G141" s="11" t="n">
        <x:v>6</x:v>
      </x:c>
      <x:c r="H141" s="20" t="n">
        <x:f>SQRT((D141-F141)^2+(E141-G141)^2)</x:f>
        <x:v>10</x:v>
      </x:c>
      <x:c r="I141" s="11" t="n">
        <x:v>3</x:v>
      </x:c>
      <x:c r="J141" s="11" t="n">
        <x:v>5</x:v>
      </x:c>
      <x:c r="K141" s="11" t="n">
        <x:v>8</x:v>
      </x:c>
      <x:c r="L141" s="11" t="n">
        <x:f>IF(H141&lt;=I141,1,0)</x:f>
        <x:v>0</x:v>
      </x:c>
      <x:c r="M141" s="11" t="n">
        <x:f>IF(H141&lt;=J141,1,0)</x:f>
        <x:v>0</x:v>
      </x:c>
      <x:c r="N141" s="11" t="n">
        <x:f>IF(H141&lt;=K141,1,0)</x:f>
        <x:v>0</x:v>
      </x:c>
      <x:c r="O141" s="11" t="n">
        <x:v>0</x:v>
      </x:c>
      <x:c r="P141" s="11" t="str">
        <x:v>합성 파생</x:v>
      </x:c>
      <x:c r="Q141" s="11" t="str">
        <x:v>평면 직선거리만 반영; 벽·높이·공조·가스 물성 미반영</x:v>
      </x:c>
    </x:row>
    <x:row r="142">
      <x:c r="A142" s="11" t="str">
        <x:v>C12</x:v>
      </x:c>
      <x:c r="B142" s="11" t="str">
        <x:v>Z09</x:v>
      </x:c>
      <x:c r="C142" s="11" t="str">
        <x:v>Z12</x:v>
      </x:c>
      <x:c r="D142" s="11" t="n">
        <x:v>54</x:v>
      </x:c>
      <x:c r="E142" s="11" t="n">
        <x:v>6</x:v>
      </x:c>
      <x:c r="F142" s="11" t="n">
        <x:v>32</x:v>
      </x:c>
      <x:c r="G142" s="11" t="n">
        <x:v>6</x:v>
      </x:c>
      <x:c r="H142" s="20" t="n">
        <x:f>SQRT((D142-F142)^2+(E142-G142)^2)</x:f>
        <x:v>22</x:v>
      </x:c>
      <x:c r="I142" s="11" t="n">
        <x:v>3</x:v>
      </x:c>
      <x:c r="J142" s="11" t="n">
        <x:v>5</x:v>
      </x:c>
      <x:c r="K142" s="11" t="n">
        <x:v>8</x:v>
      </x:c>
      <x:c r="L142" s="11" t="n">
        <x:f>IF(H142&lt;=I142,1,0)</x:f>
        <x:v>0</x:v>
      </x:c>
      <x:c r="M142" s="11" t="n">
        <x:f>IF(H142&lt;=J142,1,0)</x:f>
        <x:v>0</x:v>
      </x:c>
      <x:c r="N142" s="11" t="n">
        <x:f>IF(H142&lt;=K142,1,0)</x:f>
        <x:v>0</x:v>
      </x:c>
      <x:c r="O142" s="11" t="n">
        <x:v>0</x:v>
      </x:c>
      <x:c r="P142" s="11" t="str">
        <x:v>합성 파생</x:v>
      </x:c>
      <x:c r="Q142" s="11" t="str">
        <x:v>평면 직선거리만 반영; 벽·높이·공조·가스 물성 미반영</x:v>
      </x:c>
    </x:row>
    <x:row r="143">
      <x:c r="A143" s="11" t="str">
        <x:v>C12</x:v>
      </x:c>
      <x:c r="B143" s="11" t="str">
        <x:v>Z10</x:v>
      </x:c>
      <x:c r="C143" s="11" t="str">
        <x:v>Z12</x:v>
      </x:c>
      <x:c r="D143" s="11" t="n">
        <x:v>54</x:v>
      </x:c>
      <x:c r="E143" s="11" t="n">
        <x:v>6</x:v>
      </x:c>
      <x:c r="F143" s="11" t="n">
        <x:v>53</x:v>
      </x:c>
      <x:c r="G143" s="11" t="n">
        <x:v>31</x:v>
      </x:c>
      <x:c r="H143" s="20" t="n">
        <x:f>SQRT((D143-F143)^2+(E143-G143)^2)</x:f>
        <x:v>25.019992006393608</x:v>
      </x:c>
      <x:c r="I143" s="11" t="n">
        <x:v>3</x:v>
      </x:c>
      <x:c r="J143" s="11" t="n">
        <x:v>5</x:v>
      </x:c>
      <x:c r="K143" s="11" t="n">
        <x:v>8</x:v>
      </x:c>
      <x:c r="L143" s="11" t="n">
        <x:f>IF(H143&lt;=I143,1,0)</x:f>
        <x:v>0</x:v>
      </x:c>
      <x:c r="M143" s="11" t="n">
        <x:f>IF(H143&lt;=J143,1,0)</x:f>
        <x:v>0</x:v>
      </x:c>
      <x:c r="N143" s="11" t="n">
        <x:f>IF(H143&lt;=K143,1,0)</x:f>
        <x:v>0</x:v>
      </x:c>
      <x:c r="O143" s="11" t="n">
        <x:v>0</x:v>
      </x:c>
      <x:c r="P143" s="11" t="str">
        <x:v>합성 파생</x:v>
      </x:c>
      <x:c r="Q143" s="11" t="str">
        <x:v>평면 직선거리만 반영; 벽·높이·공조·가스 물성 미반영</x:v>
      </x:c>
    </x:row>
    <x:row r="144">
      <x:c r="A144" s="11" t="str">
        <x:v>C12</x:v>
      </x:c>
      <x:c r="B144" s="11" t="str">
        <x:v>Z11</x:v>
      </x:c>
      <x:c r="C144" s="11" t="str">
        <x:v>Z12</x:v>
      </x:c>
      <x:c r="D144" s="11" t="n">
        <x:v>54</x:v>
      </x:c>
      <x:c r="E144" s="11" t="n">
        <x:v>6</x:v>
      </x:c>
      <x:c r="F144" s="11" t="n">
        <x:v>38</x:v>
      </x:c>
      <x:c r="G144" s="11" t="n">
        <x:v>31</x:v>
      </x:c>
      <x:c r="H144" s="20" t="n">
        <x:f>SQRT((D144-F144)^2+(E144-G144)^2)</x:f>
        <x:v>29.68164415931166</x:v>
      </x:c>
      <x:c r="I144" s="11" t="n">
        <x:v>3</x:v>
      </x:c>
      <x:c r="J144" s="11" t="n">
        <x:v>5</x:v>
      </x:c>
      <x:c r="K144" s="11" t="n">
        <x:v>8</x:v>
      </x:c>
      <x:c r="L144" s="11" t="n">
        <x:f>IF(H144&lt;=I144,1,0)</x:f>
        <x:v>0</x:v>
      </x:c>
      <x:c r="M144" s="11" t="n">
        <x:f>IF(H144&lt;=J144,1,0)</x:f>
        <x:v>0</x:v>
      </x:c>
      <x:c r="N144" s="11" t="n">
        <x:f>IF(H144&lt;=K144,1,0)</x:f>
        <x:v>0</x:v>
      </x:c>
      <x:c r="O144" s="11" t="n">
        <x:v>0</x:v>
      </x:c>
      <x:c r="P144" s="11" t="str">
        <x:v>합성 파생</x:v>
      </x:c>
      <x:c r="Q144" s="11" t="str">
        <x:v>평면 직선거리만 반영; 벽·높이·공조·가스 물성 미반영</x:v>
      </x:c>
    </x:row>
    <x:row r="145">
      <x:c r="A145" s="12" t="str">
        <x:v>C12</x:v>
      </x:c>
      <x:c r="B145" s="12" t="str">
        <x:v>Z12</x:v>
      </x:c>
      <x:c r="C145" s="12" t="str">
        <x:v>Z12</x:v>
      </x:c>
      <x:c r="D145" s="12" t="n">
        <x:v>54</x:v>
      </x:c>
      <x:c r="E145" s="12" t="n">
        <x:v>6</x:v>
      </x:c>
      <x:c r="F145" s="12" t="n">
        <x:v>54</x:v>
      </x:c>
      <x:c r="G145" s="12" t="n">
        <x:v>6</x:v>
      </x:c>
      <x:c r="H145" s="21" t="n">
        <x:f>SQRT((D145-F145)^2+(E145-G145)^2)</x:f>
        <x:v>0</x:v>
      </x:c>
      <x:c r="I145" s="12" t="n">
        <x:v>3</x:v>
      </x:c>
      <x:c r="J145" s="12" t="n">
        <x:v>5</x:v>
      </x:c>
      <x:c r="K145" s="12" t="n">
        <x:v>8</x:v>
      </x:c>
      <x:c r="L145" s="12" t="n">
        <x:f>IF(H145&lt;=I145,1,0)</x:f>
        <x:v>1</x:v>
      </x:c>
      <x:c r="M145" s="12" t="n">
        <x:f>IF(H145&lt;=J145,1,0)</x:f>
        <x:v>1</x:v>
      </x:c>
      <x:c r="N145" s="12" t="n">
        <x:f>IF(H145&lt;=K145,1,0)</x:f>
        <x:v>1</x:v>
      </x:c>
      <x:c r="O145" s="12" t="n">
        <x:v>1</x:v>
      </x:c>
      <x:c r="P145" s="12" t="str">
        <x:v>합성 파생</x:v>
      </x:c>
      <x:c r="Q145" s="12" t="str">
        <x:v>평면 직선거리만 반영; 벽·높이·공조·가스 물성 미반영</x:v>
      </x:c>
    </x:row>
  </x:sheetData>
  <x:pageMargins left="0.7" right="0.7" top="0.75" bottom="0.75" header="0.3" footer="0.3"/>
  <x:tableParts count="1">
    <x:tablePart xmlns:r="http://schemas.openxmlformats.org/officeDocument/2006/relationships" r:id="R2bb6e6defe4a42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20" hidden="0" customWidth="1"/>
    <x:col min="5" max="5" width="11" hidden="0" customWidth="1"/>
    <x:col min="6" max="6" width="10" hidden="0" customWidth="1"/>
    <x:col min="7" max="7" width="10" hidden="0" customWidth="1"/>
    <x:col min="8" max="8" width="32" hidden="0" customWidth="1"/>
    <x:col min="9" max="9" width="10" hidden="0" customWidth="1"/>
    <x:col min="10" max="10" width="10" hidden="0" customWidth="1"/>
    <x:col min="11" max="11" width="10" hidden="0" customWidth="1"/>
    <x:col min="12" max="12" width="15" hidden="0" customWidth="1"/>
    <x:col min="13" max="13" width="10" hidden="0" customWidth="1"/>
    <x:col min="14" max="14" width="24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28" hidden="0" customWidth="1"/>
    <x:col min="21" max="21" width="34" hidden="0" customWidth="1"/>
    <x:col min="22" max="22" width="10" hidden="0" customWidth="1"/>
    <x:col min="23" max="23" width="10" hidden="0" customWidth="1"/>
    <x:col min="24" max="24" width="11" hidden="0" customWidth="1"/>
    <x:col min="25" max="25" width="14" hidden="0" customWidth="1"/>
    <x:col min="26" max="26" width="18" hidden="0" customWidth="1"/>
    <x:col min="27" max="27" width="15" hidden="0" customWidth="1"/>
    <x:col min="28" max="28" width="10" hidden="0" customWidth="1"/>
    <x:col min="29" max="29" width="11" hidden="0" customWidth="1"/>
    <x:col min="30" max="30" width="10" hidden="0" customWidth="1"/>
    <x:col min="31" max="31" width="10" hidden="0" customWidth="1"/>
    <x:col min="32" max="32" width="58" hidden="0" customWidth="1"/>
    <x:col min="33" max="33" width="52" hidden="0" customWidth="1"/>
    <x:col min="34" max="34" width="28" hidden="0" customWidth="1"/>
    <x:col min="35" max="35" width="32" hidden="0" customWidth="1"/>
    <x:col min="36" max="36" width="42" hidden="0" customWidth="1"/>
    <x:col min="37" max="37" width="58" hidden="0" customWidth="1"/>
  </x:cols>
  <x:sheetData>
    <x:row r="1" ht="34" customHeight="1">
      <x:c r="A1" s="8" t="str">
        <x:v>sensor_id</x:v>
      </x:c>
      <x:c r="B1" s="14" t="str">
        <x:v>센서종류</x:v>
      </x:c>
      <x:c r="C1" s="14" t="str">
        <x:v>제조사</x:v>
      </x:c>
      <x:c r="D1" s="14" t="str">
        <x:v>모델</x:v>
      </x:c>
      <x:c r="E1" s="14" t="str">
        <x:v>감지대상</x:v>
      </x:c>
      <x:c r="F1" s="14" t="str">
        <x:v>감지원리</x:v>
      </x:c>
      <x:c r="G1" s="14" t="str">
        <x:v>감지방식</x:v>
      </x:c>
      <x:c r="H1" s="14" t="str">
        <x:v>측정범위_원문</x:v>
      </x:c>
      <x:c r="I1" s="14" t="str">
        <x:v>단위</x:v>
      </x:c>
      <x:c r="J1" s="14" t="str">
        <x:v>기본경보1</x:v>
      </x:c>
      <x:c r="K1" s="14" t="str">
        <x:v>기본경보2</x:v>
      </x:c>
      <x:c r="L1" s="14" t="str">
        <x:v>응답지표</x:v>
      </x:c>
      <x:c r="M1" s="14" t="str">
        <x:v>응답시간_s</x:v>
      </x:c>
      <x:c r="N1" s="14" t="str">
        <x:v>정확도_원문</x:v>
      </x:c>
      <x:c r="O1" s="14" t="str">
        <x:v>작동온도최저_C</x:v>
      </x:c>
      <x:c r="P1" s="14" t="str">
        <x:v>작동온도최고_C</x:v>
      </x:c>
      <x:c r="Q1" s="14" t="str">
        <x:v>습도최저_pct</x:v>
      </x:c>
      <x:c r="R1" s="14" t="str">
        <x:v>습도최고_pct</x:v>
      </x:c>
      <x:c r="S1" s="14" t="str">
        <x:v>IP등급</x:v>
      </x:c>
      <x:c r="T1" s="14" t="str">
        <x:v>전원</x:v>
      </x:c>
      <x:c r="U1" s="14" t="str">
        <x:v>출력통신</x:v>
      </x:c>
      <x:c r="V1" s="14" t="str">
        <x:v>제조사간격_m</x:v>
      </x:c>
      <x:c r="W1" s="14" t="str">
        <x:v>원격샘플거리_m</x:v>
      </x:c>
      <x:c r="X1" s="14" t="str">
        <x:v>공식커버리지반경_m</x:v>
      </x:c>
      <x:c r="Y1" s="14" t="str">
        <x:v>QUBO반경_low_m</x:v>
      </x:c>
      <x:c r="Z1" s="14" t="str">
        <x:v>QUBO반경_nominal_m</x:v>
      </x:c>
      <x:c r="AA1" s="14" t="str">
        <x:v>QUBO반경_high_m</x:v>
      </x:c>
      <x:c r="AB1" s="14" t="str">
        <x:v>공개가격_USD</x:v>
      </x:c>
      <x:c r="AC1" s="14" t="str">
        <x:v>계획환율_원_USD</x:v>
      </x:c>
      <x:c r="AD1" s="14" t="str">
        <x:v>장비가_원_계산</x:v>
      </x:c>
      <x:c r="AE1" s="14" t="str">
        <x:v>설치비_원</x:v>
      </x:c>
      <x:c r="AF1" s="14" t="str">
        <x:v>사양URL</x:v>
      </x:c>
      <x:c r="AG1" s="14" t="str">
        <x:v>가격URL</x:v>
      </x:c>
      <x:c r="AH1" s="14" t="str">
        <x:v>근거유형</x:v>
      </x:c>
      <x:c r="AI1" s="14" t="str">
        <x:v>사실_가정구분</x:v>
      </x:c>
      <x:c r="AJ1" s="14" t="str">
        <x:v>확인일</x:v>
      </x:c>
      <x:c r="AK1" s="9" t="str">
        <x:v>한계_주의사항</x:v>
      </x:c>
    </x:row>
    <x:row r="2">
      <x:c r="A2" s="10" t="str">
        <x:v>S01</x:v>
      </x:c>
      <x:c r="B2" s="10" t="str">
        <x:v>광전식 연기감지기</x:v>
      </x:c>
      <x:c r="C2" s="10" t="str">
        <x:v>System Sensor/Honeywell</x:v>
      </x:c>
      <x:c r="D2" s="10" t="str">
        <x:v>2151</x:v>
      </x:c>
      <x:c r="E2" s="10" t="str">
        <x:v>연기</x:v>
      </x:c>
      <x:c r="F2" s="10" t="str">
        <x:v>광전식</x:v>
      </x:c>
      <x:c r="G2" s="10" t="str">
        <x:v>천장 점감지</x:v>
      </x:c>
      <x:c r="H2" s="10" t="str">
        <x:v>감도 1–3.18 %/ft</x:v>
      </x:c>
      <x:c r="I2" s="10" t="str">
        <x:v>%/ft</x:v>
      </x:c>
      <x:c r="J2" s="10"/>
      <x:c r="K2" s="10"/>
      <x:c r="L2" s="10"/>
      <x:c r="M2" s="10"/>
      <x:c r="N2" s="10" t="str">
        <x:v>제조사 감도 범위</x:v>
      </x:c>
      <x:c r="O2" s="10" t="n">
        <x:v>0</x:v>
      </x:c>
      <x:c r="P2" s="10" t="n">
        <x:v>49</x:v>
      </x:c>
      <x:c r="Q2" s="10" t="n">
        <x:v>10</x:v>
      </x:c>
      <x:c r="R2" s="10" t="n">
        <x:v>93</x:v>
      </x:c>
      <x:c r="S2" s="10"/>
      <x:c r="T2" s="10" t="str">
        <x:v>베이스별 12/24 VDC 또는 120 VAC</x:v>
      </x:c>
      <x:c r="U2" s="10" t="str">
        <x:v>호환 화재수신반</x:v>
      </x:c>
      <x:c r="V2" s="10" t="n">
        <x:v>9.144</x:v>
      </x:c>
      <x:c r="W2" s="10"/>
      <x:c r="X2" s="10"/>
      <x:c r="Y2" s="10" t="n">
        <x:v>3</x:v>
      </x:c>
      <x:c r="Z2" s="10" t="n">
        <x:v>4.572</x:v>
      </x:c>
      <x:c r="AA2" s="10" t="n">
        <x:v>6</x:v>
      </x:c>
      <x:c r="AB2" s="34" t="n">
        <x:v>54.51</x:v>
      </x:c>
      <x:c r="AC2" s="34" t="n">
        <x:v>1400</x:v>
      </x:c>
      <x:c r="AD2" s="34" t="n">
        <x:f>AB2*AC2</x:f>
        <x:v>76314</x:v>
      </x:c>
      <x:c r="AE2" s="35"/>
      <x:c r="AF2" s="10" t="str">
        <x:v>https://prod-edam.honeywell.com/content/dam/honeywell-edam/hbt/en-us/documents/literature-and-specs/datasheets/2151_2151T_100_series_DataSheet1.pdf</x:v>
      </x:c>
      <x:c r="AG2" s="10" t="str">
        <x:v>https://www.supplyhouse.com/System-Sensor-2151-Photoelectric-Plug-in-Smoke-Detector-2151</x:v>
      </x:c>
      <x:c r="AH2" s="10" t="str">
        <x:v>제조사 사양+공개 판매가</x:v>
      </x:c>
      <x:c r="AI2" s="10" t="str">
        <x:v>제조사간격은 사실; QUBO반경은 가정</x:v>
      </x:c>
      <x:c r="AJ2" s="36" t="n">
        <x:v>46229</x:v>
      </x:c>
      <x:c r="AK2" s="10" t="str">
        <x:v>30 ft는 평활천장 가이드. 헤드 가격만 포함하고 베이스·패널·배선·시공 제외.</x:v>
      </x:c>
    </x:row>
    <x:row r="3">
      <x:c r="A3" s="11" t="str">
        <x:v>S01T</x:v>
      </x:c>
      <x:c r="B3" s="11" t="str">
        <x:v>광전식 연기·열 복합감지기</x:v>
      </x:c>
      <x:c r="C3" s="11" t="str">
        <x:v>System Sensor/Honeywell</x:v>
      </x:c>
      <x:c r="D3" s="11" t="str">
        <x:v>2151T</x:v>
      </x:c>
      <x:c r="E3" s="11" t="str">
        <x:v>연기+열</x:v>
      </x:c>
      <x:c r="F3" s="11" t="str">
        <x:v>광전식+정온식</x:v>
      </x:c>
      <x:c r="G3" s="11" t="str">
        <x:v>천장 점감지</x:v>
      </x:c>
      <x:c r="H3" s="11" t="str">
        <x:v>연기감도 1–3.18 %/ft; 열 135°F 고정온도</x:v>
      </x:c>
      <x:c r="I3" s="11" t="str">
        <x:v>%/ft,°F</x:v>
      </x:c>
      <x:c r="J3" s="11"/>
      <x:c r="K3" s="11"/>
      <x:c r="L3" s="11"/>
      <x:c r="M3" s="11"/>
      <x:c r="N3" s="11" t="str">
        <x:v>제조사 사양</x:v>
      </x:c>
      <x:c r="O3" s="11" t="n">
        <x:v>0</x:v>
      </x:c>
      <x:c r="P3" s="11" t="n">
        <x:v>38</x:v>
      </x:c>
      <x:c r="Q3" s="11" t="n">
        <x:v>10</x:v>
      </x:c>
      <x:c r="R3" s="11" t="n">
        <x:v>93</x:v>
      </x:c>
      <x:c r="S3" s="11"/>
      <x:c r="T3" s="11" t="str">
        <x:v>베이스별</x:v>
      </x:c>
      <x:c r="U3" s="11" t="str">
        <x:v>호환 화재수신반</x:v>
      </x:c>
      <x:c r="V3" s="11" t="n">
        <x:v>9.144</x:v>
      </x:c>
      <x:c r="W3" s="11"/>
      <x:c r="X3" s="11"/>
      <x:c r="Y3" s="11" t="n">
        <x:v>3</x:v>
      </x:c>
      <x:c r="Z3" s="11" t="n">
        <x:v>4.572</x:v>
      </x:c>
      <x:c r="AA3" s="11" t="n">
        <x:v>6</x:v>
      </x:c>
      <x:c r="AB3" s="37" t="n">
        <x:v>117.54</x:v>
      </x:c>
      <x:c r="AC3" s="37" t="n">
        <x:v>1400</x:v>
      </x:c>
      <x:c r="AD3" s="37" t="n">
        <x:f>AB3*AC3</x:f>
        <x:v>164556</x:v>
      </x:c>
      <x:c r="AE3" s="38"/>
      <x:c r="AF3" s="11" t="str">
        <x:v>https://prod-edam.honeywell.com/content/dam/honeywell-edam/hbt/en-us/documents/literature-and-specs/datasheets/2151_2151T_100_series_DataSheet1.pdf</x:v>
      </x:c>
      <x:c r="AG3" s="11" t="str">
        <x:v>https://www.partssource.com/parts/system-sensor/2151t</x:v>
      </x:c>
      <x:c r="AH3" s="11" t="str">
        <x:v>제조사 사양+공개 판매가</x:v>
      </x:c>
      <x:c r="AI3" s="11" t="str">
        <x:v>제조사간격은 사실; QUBO반경은 가정</x:v>
      </x:c>
      <x:c r="AJ3" s="39" t="n">
        <x:v>46229</x:v>
      </x:c>
      <x:c r="AK3" s="11" t="str">
        <x:v>가격은 공개 판매가 스냅샷이며 국내 형식승인·시공 조건 미반영.</x:v>
      </x:c>
    </x:row>
    <x:row r="4">
      <x:c r="A4" s="11" t="str">
        <x:v>S02</x:v>
      </x:c>
      <x:c r="B4" s="11" t="str">
        <x:v>고정식 독성가스 점감지기</x:v>
      </x:c>
      <x:c r="C4" s="11" t="str">
        <x:v>Honeywell</x:v>
      </x:c>
      <x:c r="D4" s="11" t="str">
        <x:v>Sensepoint XCD</x:v>
      </x:c>
      <x:c r="E4" s="11" t="str">
        <x:v>CO</x:v>
      </x:c>
      <x:c r="F4" s="11" t="str">
        <x:v>전기화학식</x:v>
      </x:c>
      <x:c r="G4" s="11" t="str">
        <x:v>확산식 점감지</x:v>
      </x:c>
      <x:c r="H4" s="11" t="str">
        <x:v>선택 Full Scale 100–1000 ppm; 기본 300 ppm</x:v>
      </x:c>
      <x:c r="I4" s="11" t="str">
        <x:v>ppm</x:v>
      </x:c>
      <x:c r="J4" s="11" t="n">
        <x:v>30</x:v>
      </x:c>
      <x:c r="K4" s="11" t="n">
        <x:v>100</x:v>
      </x:c>
      <x:c r="L4" s="11" t="str">
        <x:v>T90</x:v>
      </x:c>
      <x:c r="M4" s="11" t="n">
        <x:v>30</x:v>
      </x:c>
      <x:c r="N4" s="11" t="str">
        <x:v>±6 ppm 미만</x:v>
      </x:c>
      <x:c r="O4" s="11" t="n">
        <x:v>-20</x:v>
      </x:c>
      <x:c r="P4" s="11" t="n">
        <x:v>55</x:v>
      </x:c>
      <x:c r="Q4" s="11"/>
      <x:c r="R4" s="11"/>
      <x:c r="S4" s="11" t="str">
        <x:v>IP66</x:v>
      </x:c>
      <x:c r="T4" s="11" t="str">
        <x:v>12–32 VDC</x:v>
      </x:c>
      <x:c r="U4" s="11" t="str">
        <x:v>4–20 mA; RS485 Modbus RTU; 릴레이</x:v>
      </x:c>
      <x:c r="V4" s="11"/>
      <x:c r="W4" s="11"/>
      <x:c r="X4" s="11"/>
      <x:c r="Y4" s="11" t="n">
        <x:v>2</x:v>
      </x:c>
      <x:c r="Z4" s="11" t="n">
        <x:v>4</x:v>
      </x:c>
      <x:c r="AA4" s="11" t="n">
        <x:v>6</x:v>
      </x:c>
      <x:c r="AB4" s="37" t="n">
        <x:v>750</x:v>
      </x:c>
      <x:c r="AC4" s="37" t="n">
        <x:v>1400</x:v>
      </x:c>
      <x:c r="AD4" s="37" t="n">
        <x:f>AB4*AC4</x:f>
        <x:v>1050000</x:v>
      </x:c>
      <x:c r="AE4" s="38"/>
      <x:c r="AF4" s="11" t="str">
        <x:v>https://prod-edam.honeywell.com/content/dam/honeywell-edam/sps/his/en-us/products/gas-and-flame-detection/documents/ss01082_sensepoint_xcd_spec_sheet_1_9_15.pdf</x:v>
      </x:c>
      <x:c r="AG4" s="11" t="str">
        <x:v>https://www.rescienceinc.com/product-page/honeywell-sensepoint-xcd</x:v>
      </x:c>
      <x:c r="AH4" s="11" t="str">
        <x:v>제조사 사양+일반 모델 공개가</x:v>
      </x:c>
      <x:c r="AI4" s="11" t="str">
        <x:v>사양은 사실; 가격은 대표값; 반경은 가정</x:v>
      </x:c>
      <x:c r="AJ4" s="39" t="n">
        <x:v>46229</x:v>
      </x:c>
      <x:c r="AK4" s="11" t="str">
        <x:v>가스별 정확한 구성 견적 필요. 커버리지 반경은 제조사 사양이 아님.</x:v>
      </x:c>
    </x:row>
    <x:row r="5">
      <x:c r="A5" s="11" t="str">
        <x:v>S03</x:v>
      </x:c>
      <x:c r="B5" s="11" t="str">
        <x:v>고정식 가연성가스 점감지기</x:v>
      </x:c>
      <x:c r="C5" s="11" t="str">
        <x:v>Honeywell</x:v>
      </x:c>
      <x:c r="D5" s="11" t="str">
        <x:v>Sensepoint XCD</x:v>
      </x:c>
      <x:c r="E5" s="11" t="str">
        <x:v>H2</x:v>
      </x:c>
      <x:c r="F5" s="11" t="str">
        <x:v>전기화학식</x:v>
      </x:c>
      <x:c r="G5" s="11" t="str">
        <x:v>확산식 점감지</x:v>
      </x:c>
      <x:c r="H5" s="11" t="str">
        <x:v>0–1000 ppm</x:v>
      </x:c>
      <x:c r="I5" s="11" t="str">
        <x:v>ppm</x:v>
      </x:c>
      <x:c r="J5" s="11" t="n">
        <x:v>200</x:v>
      </x:c>
      <x:c r="K5" s="11" t="n">
        <x:v>400</x:v>
      </x:c>
      <x:c r="L5" s="11" t="str">
        <x:v>T90</x:v>
      </x:c>
      <x:c r="M5" s="11" t="n">
        <x:v>65</x:v>
      </x:c>
      <x:c r="N5" s="11" t="str">
        <x:v>±25 ppm 미만</x:v>
      </x:c>
      <x:c r="O5" s="11" t="n">
        <x:v>-20</x:v>
      </x:c>
      <x:c r="P5" s="11" t="n">
        <x:v>55</x:v>
      </x:c>
      <x:c r="Q5" s="11"/>
      <x:c r="R5" s="11"/>
      <x:c r="S5" s="11" t="str">
        <x:v>IP66</x:v>
      </x:c>
      <x:c r="T5" s="11" t="str">
        <x:v>12–32 VDC</x:v>
      </x:c>
      <x:c r="U5" s="11" t="str">
        <x:v>4–20 mA; RS485 Modbus RTU; 릴레이</x:v>
      </x:c>
      <x:c r="V5" s="11"/>
      <x:c r="W5" s="11"/>
      <x:c r="X5" s="11"/>
      <x:c r="Y5" s="11" t="n">
        <x:v>2</x:v>
      </x:c>
      <x:c r="Z5" s="11" t="n">
        <x:v>4</x:v>
      </x:c>
      <x:c r="AA5" s="11" t="n">
        <x:v>6</x:v>
      </x:c>
      <x:c r="AB5" s="37" t="n">
        <x:v>750</x:v>
      </x:c>
      <x:c r="AC5" s="37" t="n">
        <x:v>1400</x:v>
      </x:c>
      <x:c r="AD5" s="37" t="n">
        <x:f>AB5*AC5</x:f>
        <x:v>1050000</x:v>
      </x:c>
      <x:c r="AE5" s="38"/>
      <x:c r="AF5" s="11" t="str">
        <x:v>https://prod-edam.honeywell.com/content/dam/honeywell-edam/sps/his/en-us/products/gas-and-flame-detection/documents/ss01082_sensepoint_xcd_spec_sheet_1_9_15.pdf</x:v>
      </x:c>
      <x:c r="AG5" s="11" t="str">
        <x:v>https://www.rescienceinc.com/product-page/honeywell-sensepoint-xcd</x:v>
      </x:c>
      <x:c r="AH5" s="11" t="str">
        <x:v>제조사 사양+일반 모델 공개가</x:v>
      </x:c>
      <x:c r="AI5" s="11" t="str">
        <x:v>사양은 사실; 가격은 대표값; 반경은 가정</x:v>
      </x:c>
      <x:c r="AJ5" s="39" t="n">
        <x:v>46229</x:v>
      </x:c>
      <x:c r="AK5" s="11" t="str">
        <x:v>H2는 공기보다 가벼워 상부·환기구 부근 배치 검토. 구성별 국내 견적 필요.</x:v>
      </x:c>
    </x:row>
    <x:row r="6">
      <x:c r="A6" s="11" t="str">
        <x:v>S04</x:v>
      </x:c>
      <x:c r="B6" s="11" t="str">
        <x:v>흡입식 특수가스 감지기</x:v>
      </x:c>
      <x:c r="C6" s="11" t="str">
        <x:v>Honeywell</x:v>
      </x:c>
      <x:c r="D6" s="11" t="str">
        <x:v>MIDAS S2 + E-SHX</x:v>
      </x:c>
      <x:c r="E6" s="11" t="str">
        <x:v>SiH4/Si2H6</x:v>
      </x:c>
      <x:c r="F6" s="11" t="str">
        <x:v>전기화학식</x:v>
      </x:c>
      <x:c r="G6" s="11" t="str">
        <x:v>펌프 흡입식</x:v>
      </x:c>
      <x:c r="H6" s="11" t="str">
        <x:v>0–20 ppm</x:v>
      </x:c>
      <x:c r="I6" s="11" t="str">
        <x:v>ppm</x:v>
      </x:c>
      <x:c r="J6" s="11" t="n">
        <x:v>2.5</x:v>
      </x:c>
      <x:c r="K6" s="11" t="n">
        <x:v>5</x:v>
      </x:c>
      <x:c r="L6" s="11" t="str">
        <x:v>t62.5 typical</x:v>
      </x:c>
      <x:c r="M6" s="11" t="n">
        <x:v>2</x:v>
      </x:c>
      <x:c r="N6" s="11" t="str">
        <x:v>측정값의 ±10% 이하</x:v>
      </x:c>
      <x:c r="O6" s="11" t="n">
        <x:v>0</x:v>
      </x:c>
      <x:c r="P6" s="11" t="n">
        <x:v>40</x:v>
      </x:c>
      <x:c r="Q6" s="11" t="n">
        <x:v>10</x:v>
      </x:c>
      <x:c r="R6" s="11" t="n">
        <x:v>90</x:v>
      </x:c>
      <x:c r="S6" s="11"/>
      <x:c r="T6" s="11" t="str">
        <x:v>송신기 사양 참조</x:v>
      </x:c>
      <x:c r="U6" s="11" t="str">
        <x:v>릴레이; 4–20 mA; Modbus TCP/IP; Ethernet</x:v>
      </x:c>
      <x:c r="V6" s="11"/>
      <x:c r="W6" s="11" t="n">
        <x:v>30</x:v>
      </x:c>
      <x:c r="X6" s="11"/>
      <x:c r="Y6" s="11" t="n">
        <x:v>1</x:v>
      </x:c>
      <x:c r="Z6" s="11" t="n">
        <x:v>3</x:v>
      </x:c>
      <x:c r="AA6" s="11" t="n">
        <x:v>5</x:v>
      </x:c>
      <x:c r="AB6" s="37" t="n">
        <x:v>2741.29</x:v>
      </x:c>
      <x:c r="AC6" s="37" t="n">
        <x:v>1400</x:v>
      </x:c>
      <x:c r="AD6" s="37" t="n">
        <x:f>AB6*AC6</x:f>
        <x:v>3837806</x:v>
      </x:c>
      <x:c r="AE6" s="38"/>
      <x:c r="AF6" s="11" t="str">
        <x:v>https://prod-edam.honeywell.com/content/dam/honeywell-edam/sps/hgas/en-us/products/high-tech-and-semiconductor/midass2/documents/hon-ia-pmc-midas-s2-e-shx-datasheet.pdf</x:v>
      </x:c>
      <x:c r="AG6" s="11" t="str">
        <x:v>https://www.jjstech.com/honeywell-analytics-midas-s2-midas-s2-extractive-transmitter.html</x:v>
      </x:c>
      <x:c r="AH6" s="11" t="str">
        <x:v>제조사 사양+송신기/카트리지 공개가 합산</x:v>
      </x:c>
      <x:c r="AI6" s="11" t="str">
        <x:v>사양은 사실; 반경은 가정</x:v>
      </x:c>
      <x:c r="AJ6" s="39" t="n">
        <x:v>46229</x:v>
      </x:c>
      <x:c r="AK6" s="11" t="str">
        <x:v>송신기 $2,083.36 + SiH4 카트리지 $657.93. 샘플 튜브·교정·전원·시공 제외.</x:v>
      </x:c>
    </x:row>
    <x:row r="7">
      <x:c r="A7" s="12" t="str">
        <x:v>S05</x:v>
      </x:c>
      <x:c r="B7" s="12" t="str">
        <x:v>고정식 가연성가스 감지기</x:v>
      </x:c>
      <x:c r="C7" s="12" t="str">
        <x:v>Honeywell</x:v>
      </x:c>
      <x:c r="D7" s="12" t="str">
        <x:v>Sensepoint XCD CAT</x:v>
      </x:c>
      <x:c r="E7" s="12" t="str">
        <x:v>가연성가스</x:v>
      </x:c>
      <x:c r="F7" s="12" t="str">
        <x:v>촉매연소식</x:v>
      </x:c>
      <x:c r="G7" s="12" t="str">
        <x:v>확산식 점감지</x:v>
      </x:c>
      <x:c r="H7" s="12" t="str">
        <x:v>0–100 %LEL</x:v>
      </x:c>
      <x:c r="I7" s="12" t="str">
        <x:v>%LEL</x:v>
      </x:c>
      <x:c r="J7" s="12" t="n">
        <x:v>20</x:v>
      </x:c>
      <x:c r="K7" s="12" t="n">
        <x:v>40</x:v>
      </x:c>
      <x:c r="L7" s="12" t="str">
        <x:v>T90</x:v>
      </x:c>
      <x:c r="M7" s="12" t="n">
        <x:v>30</x:v>
      </x:c>
      <x:c r="N7" s="12" t="str">
        <x:v>선택 가스·교정 조건 의존</x:v>
      </x:c>
      <x:c r="O7" s="12" t="n">
        <x:v>-40</x:v>
      </x:c>
      <x:c r="P7" s="12" t="n">
        <x:v>65</x:v>
      </x:c>
      <x:c r="Q7" s="12"/>
      <x:c r="R7" s="12"/>
      <x:c r="S7" s="12" t="str">
        <x:v>IP66</x:v>
      </x:c>
      <x:c r="T7" s="12" t="str">
        <x:v>12–32 VDC</x:v>
      </x:c>
      <x:c r="U7" s="12" t="str">
        <x:v>4–20 mA; RS485 Modbus RTU; 릴레이</x:v>
      </x:c>
      <x:c r="V7" s="12"/>
      <x:c r="W7" s="12"/>
      <x:c r="X7" s="12"/>
      <x:c r="Y7" s="12" t="n">
        <x:v>2</x:v>
      </x:c>
      <x:c r="Z7" s="12" t="n">
        <x:v>4</x:v>
      </x:c>
      <x:c r="AA7" s="12" t="n">
        <x:v>6</x:v>
      </x:c>
      <x:c r="AB7" s="40" t="n">
        <x:v>750</x:v>
      </x:c>
      <x:c r="AC7" s="40" t="n">
        <x:v>1400</x:v>
      </x:c>
      <x:c r="AD7" s="40" t="n">
        <x:f>AB7*AC7</x:f>
        <x:v>1050000</x:v>
      </x:c>
      <x:c r="AE7" s="41"/>
      <x:c r="AF7" s="12" t="str">
        <x:v>https://prod-edam.honeywell.com/content/dam/honeywell-edam/sps/his/en-us/products/gas-and-flame-detection/documents/ss01082_sensepoint_xcd_spec_sheet_1_9_15.pdf</x:v>
      </x:c>
      <x:c r="AG7" s="12" t="str">
        <x:v>https://www.rescienceinc.com/product-page/honeywell-sensepoint-xcd</x:v>
      </x:c>
      <x:c r="AH7" s="12" t="str">
        <x:v>제조사 사양+일반 모델 공개가</x:v>
      </x:c>
      <x:c r="AI7" s="12" t="str">
        <x:v>사양은 사실; 가격은 대표값; 반경은 가정</x:v>
      </x:c>
      <x:c r="AJ7" s="42" t="n">
        <x:v>46229</x:v>
      </x:c>
      <x:c r="AK7" s="12" t="str">
        <x:v>KOSHA 경보설정 LEL 25% 이하와 제품 기본값을 혼동하지 말고 국내 설정을 별도 검토.</x:v>
      </x:c>
    </x:row>
  </x:sheetData>
  <x:pageMargins left="0.7" right="0.7" top="0.75" bottom="0.75" header="0.3" footer="0.3"/>
  <x:tableParts count="1">
    <x:tablePart xmlns:r="http://schemas.openxmlformats.org/officeDocument/2006/relationships" r:id="Rc608a884baa349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42" hidden="0" customWidth="1"/>
    <x:col min="5" max="5" width="10" hidden="0" customWidth="1"/>
    <x:col min="6" max="6" width="14" hidden="0" customWidth="1"/>
    <x:col min="7" max="7" width="11" hidden="0" customWidth="1"/>
    <x:col min="8" max="8" width="30" hidden="0" customWidth="1"/>
    <x:col min="9" max="9" width="32" hidden="0" customWidth="1"/>
    <x:col min="10" max="10" width="14" hidden="0" customWidth="1"/>
    <x:col min="11" max="11" width="10" hidden="0" customWidth="1"/>
    <x:col min="12" max="12" width="10" hidden="0" customWidth="1"/>
    <x:col min="13" max="13" width="48" hidden="0" customWidth="1"/>
    <x:col min="14" max="14" width="28" hidden="0" customWidth="1"/>
    <x:col min="15" max="15" width="10" hidden="0" customWidth="1"/>
    <x:col min="16" max="16" width="10" hidden="0" customWidth="1"/>
    <x:col min="17" max="17" width="15" hidden="0" customWidth="1"/>
    <x:col min="18" max="18" width="10" hidden="0" customWidth="1"/>
    <x:col min="19" max="19" width="30" hidden="0" customWidth="1"/>
    <x:col min="20" max="20" width="18" hidden="0" customWidth="1"/>
    <x:col min="21" max="21" width="24" hidden="0" customWidth="1"/>
    <x:col min="22" max="22" width="19" hidden="0" customWidth="1"/>
    <x:col min="23" max="23" width="21" hidden="0" customWidth="1"/>
    <x:col min="24" max="24" width="21" hidden="0" customWidth="1"/>
    <x:col min="25" max="25" width="21" hidden="0" customWidth="1"/>
    <x:col min="26" max="26" width="58" hidden="0" customWidth="1"/>
    <x:col min="27" max="27" width="42" hidden="0" customWidth="1"/>
    <x:col min="28" max="28" width="48" hidden="0" customWidth="1"/>
  </x:cols>
  <x:sheetData>
    <x:row r="1" ht="34" customHeight="1">
      <x:c r="A1" s="8" t="str">
        <x:v>scenario_id</x:v>
      </x:c>
      <x:c r="B1" s="14" t="str">
        <x:v>국가</x:v>
      </x:c>
      <x:c r="C1" s="14" t="str">
        <x:v>산업</x:v>
      </x:c>
      <x:c r="D1" s="14" t="str">
        <x:v>발생일</x:v>
      </x:c>
      <x:c r="E1" s="14" t="str">
        <x:v>공사_운영단계</x:v>
      </x:c>
      <x:c r="F1" s="14" t="str">
        <x:v>구역유형</x:v>
      </x:c>
      <x:c r="G1" s="14" t="str">
        <x:v>사건유형</x:v>
      </x:c>
      <x:c r="H1" s="14" t="str">
        <x:v>물질_연료</x:v>
      </x:c>
      <x:c r="I1" s="14" t="str">
        <x:v>직접개시원</x:v>
      </x:c>
      <x:c r="J1" s="14" t="str">
        <x:v>잠재점화원</x:v>
      </x:c>
      <x:c r="K1" s="14" t="str">
        <x:v>밀폐도</x:v>
      </x:c>
      <x:c r="L1" s="14" t="str">
        <x:v>환기상태</x:v>
      </x:c>
      <x:c r="M1" s="14" t="str">
        <x:v>확산_전파특성</x:v>
      </x:c>
      <x:c r="N1" s="14" t="str">
        <x:v>피해결과</x:v>
      </x:c>
      <x:c r="O1" s="14" t="str">
        <x:v>사망자</x:v>
      </x:c>
      <x:c r="P1" s="14" t="str">
        <x:v>부상자</x:v>
      </x:c>
      <x:c r="Q1" s="14" t="str">
        <x:v>근거유형</x:v>
      </x:c>
      <x:c r="R1" s="14" t="str">
        <x:v>실제사고여부</x:v>
      </x:c>
      <x:c r="S1" s="14" t="str">
        <x:v>ML사용권장</x:v>
      </x:c>
      <x:c r="T1" s="14" t="str">
        <x:v>feature_hot_work</x:v>
      </x:c>
      <x:c r="U1" s="14" t="str">
        <x:v>feature_flammable_gas</x:v>
      </x:c>
      <x:c r="V1" s="14" t="str">
        <x:v>feature_toxic_gas</x:v>
      </x:c>
      <x:c r="W1" s="14" t="str">
        <x:v>feature_combustible</x:v>
      </x:c>
      <x:c r="X1" s="14" t="str">
        <x:v>feature_confinement</x:v>
      </x:c>
      <x:c r="Y1" s="14" t="str">
        <x:v>feature_maintenance</x:v>
      </x:c>
      <x:c r="Z1" s="14" t="str">
        <x:v>출처URL</x:v>
      </x:c>
      <x:c r="AA1" s="14" t="str">
        <x:v>확인일</x:v>
      </x:c>
      <x:c r="AB1" s="9" t="str">
        <x:v>한계</x:v>
      </x:c>
    </x:row>
    <x:row r="2">
      <x:c r="A2" s="10" t="str">
        <x:v>SC01</x:v>
      </x:c>
      <x:c r="B2" s="10" t="str">
        <x:v>대한민국</x:v>
      </x:c>
      <x:c r="C2" s="10" t="str">
        <x:v>건설</x:v>
      </x:c>
      <x:c r="D2" s="36" t="n">
        <x:v>41372</x:v>
      </x:c>
      <x:c r="E2" s="10" t="str">
        <x:v>건설</x:v>
      </x:c>
      <x:c r="F2" s="10" t="str">
        <x:v>용접·화기</x:v>
      </x:c>
      <x:c r="G2" s="10" t="str">
        <x:v>폭발·화재</x:v>
      </x:c>
      <x:c r="H2" s="10" t="str">
        <x:v>에탄올 증기</x:v>
      </x:c>
      <x:c r="I2" s="10" t="str">
        <x:v>누출 인근 용접</x:v>
      </x:c>
      <x:c r="J2" s="10" t="str">
        <x:v>용접 아크·불티</x:v>
      </x:c>
      <x:c r="K2" s="10" t="str">
        <x:v>미상</x:v>
      </x:c>
      <x:c r="L2" s="10" t="str">
        <x:v>미상</x:v>
      </x:c>
      <x:c r="M2" s="10" t="str">
        <x:v>가연성 증기와 점화원 결합</x:v>
      </x:c>
      <x:c r="N2" s="10" t="str">
        <x:v>2명 사상</x:v>
      </x:c>
      <x:c r="O2" s="10"/>
      <x:c r="P2" s="10"/>
      <x:c r="Q2" s="10" t="str">
        <x:v>KOSHA 사고사례</x:v>
      </x:c>
      <x:c r="R2" s="10" t="str">
        <x:v>예</x:v>
      </x:c>
      <x:c r="S2" s="10" t="str">
        <x:v>규칙기반 feature/시나리오 검증</x:v>
      </x:c>
      <x:c r="T2" s="10" t="n">
        <x:v>1</x:v>
      </x:c>
      <x:c r="U2" s="10" t="n">
        <x:v>1</x:v>
      </x:c>
      <x:c r="V2" s="10" t="n">
        <x:v>0</x:v>
      </x:c>
      <x:c r="W2" s="10" t="n">
        <x:v>0</x:v>
      </x:c>
      <x:c r="X2" s="10"/>
      <x:c r="Y2" s="10" t="n">
        <x:v>0</x:v>
      </x:c>
      <x:c r="Z2" s="10" t="str">
        <x:v>https://oshri.kosha.or.kr/kosha/intro/busanHeadquarters_A.do?articleNo=330328&amp;attachNo=174592&amp;mode=download</x:v>
      </x:c>
      <x:c r="AA2" s="36" t="n">
        <x:v>46229</x:v>
      </x:c>
      <x:c r="AB2" s="10" t="str">
        <x:v>원문 요약에 사망·부상 세부 구분이 없음.</x:v>
      </x:c>
    </x:row>
    <x:row r="3">
      <x:c r="A3" s="11" t="str">
        <x:v>SC02</x:v>
      </x:c>
      <x:c r="B3" s="11" t="str">
        <x:v>대한민국</x:v>
      </x:c>
      <x:c r="C3" s="11" t="str">
        <x:v>건설</x:v>
      </x:c>
      <x:c r="D3" s="39" t="n">
        <x:v>41926</x:v>
      </x:c>
      <x:c r="E3" s="11" t="str">
        <x:v>건설</x:v>
      </x:c>
      <x:c r="F3" s="11" t="str">
        <x:v>자재적치·수직공간</x:v>
      </x:c>
      <x:c r="G3" s="11" t="str">
        <x:v>화재</x:v>
      </x:c>
      <x:c r="H3" s="11" t="str">
        <x:v>폴리에틸렌 단열재</x:v>
      </x:c>
      <x:c r="I3" s="11" t="str">
        <x:v>주차타워 내부 용단</x:v>
      </x:c>
      <x:c r="J3" s="11" t="str">
        <x:v>용단 불티</x:v>
      </x:c>
      <x:c r="K3" s="11" t="str">
        <x:v>높음</x:v>
      </x:c>
      <x:c r="L3" s="11" t="str">
        <x:v>미상</x:v>
      </x:c>
      <x:c r="M3" s="11" t="str">
        <x:v>단열재 착화 후 수직·인접 구역 확산 가능</x:v>
      </x:c>
      <x:c r="N3" s="11" t="str">
        <x:v>3명 사상</x:v>
      </x:c>
      <x:c r="O3" s="11"/>
      <x:c r="P3" s="11"/>
      <x:c r="Q3" s="11" t="str">
        <x:v>KOSHA 사고사례</x:v>
      </x:c>
      <x:c r="R3" s="11" t="str">
        <x:v>예</x:v>
      </x:c>
      <x:c r="S3" s="11" t="str">
        <x:v>규칙기반 feature/시나리오 검증</x:v>
      </x:c>
      <x:c r="T3" s="11" t="n">
        <x:v>1</x:v>
      </x:c>
      <x:c r="U3" s="11" t="n">
        <x:v>0</x:v>
      </x:c>
      <x:c r="V3" s="11" t="n">
        <x:v>0</x:v>
      </x:c>
      <x:c r="W3" s="11" t="n">
        <x:v>1</x:v>
      </x:c>
      <x:c r="X3" s="11" t="n">
        <x:v>1</x:v>
      </x:c>
      <x:c r="Y3" s="11" t="n">
        <x:v>0</x:v>
      </x:c>
      <x:c r="Z3" s="11" t="str">
        <x:v>https://oshri.kosha.or.kr/kosha/intro/busanHeadquarters_A.do?articleNo=330328&amp;attachNo=174592&amp;mode=download</x:v>
      </x:c>
      <x:c r="AA3" s="39" t="n">
        <x:v>46229</x:v>
      </x:c>
      <x:c r="AB3" s="11" t="str">
        <x:v>현장 치수·환기율 미공개.</x:v>
      </x:c>
    </x:row>
    <x:row r="4">
      <x:c r="A4" s="11" t="str">
        <x:v>SC03</x:v>
      </x:c>
      <x:c r="B4" s="11" t="str">
        <x:v>미국</x:v>
      </x:c>
      <x:c r="C4" s="11" t="str">
        <x:v>가스취급</x:v>
      </x:c>
      <x:c r="D4" s="39" t="n">
        <x:v>36447</x:v>
      </x:c>
      <x:c r="E4" s="11" t="str">
        <x:v>운영·정비</x:v>
      </x:c>
      <x:c r="F4" s="11" t="str">
        <x:v>특수가스 실린더 연결부</x:v>
      </x:c>
      <x:c r="G4" s="11" t="str">
        <x:v>자연발화</x:v>
      </x:c>
      <x:c r="H4" s="11" t="str">
        <x:v>실란 SiH4</x:v>
      </x:c>
      <x:c r="I4" s="11" t="str">
        <x:v>실린더 피팅 점검 중 누출</x:v>
      </x:c>
      <x:c r="J4" s="11" t="str">
        <x:v>공기 접촉</x:v>
      </x:c>
      <x:c r="K4" s="11" t="str">
        <x:v>국부</x:v>
      </x:c>
      <x:c r="L4" s="11" t="str">
        <x:v>미상</x:v>
      </x:c>
      <x:c r="M4" s="11" t="str">
        <x:v>공기 접촉 즉시 자연발화·누출원 인접 국부 화염</x:v>
      </x:c>
      <x:c r="N4" s="11" t="str">
        <x:v>양손 2도 화상·입원</x:v>
      </x:c>
      <x:c r="O4" s="11" t="n">
        <x:v>0</x:v>
      </x:c>
      <x:c r="P4" s="11" t="n">
        <x:v>1</x:v>
      </x:c>
      <x:c r="Q4" s="11" t="str">
        <x:v>OSHA 사고조사</x:v>
      </x:c>
      <x:c r="R4" s="11" t="str">
        <x:v>예</x:v>
      </x:c>
      <x:c r="S4" s="11" t="str">
        <x:v>실란 연결부 고위험 feature</x:v>
      </x:c>
      <x:c r="T4" s="11" t="n">
        <x:v>0</x:v>
      </x:c>
      <x:c r="U4" s="11" t="n">
        <x:v>1</x:v>
      </x:c>
      <x:c r="V4" s="11" t="n">
        <x:v>1</x:v>
      </x:c>
      <x:c r="W4" s="11" t="n">
        <x:v>0</x:v>
      </x:c>
      <x:c r="X4" s="11" t="n">
        <x:v>0</x:v>
      </x:c>
      <x:c r="Y4" s="11" t="n">
        <x:v>1</x:v>
      </x:c>
      <x:c r="Z4" s="11" t="str">
        <x:v>https://www.osha.gov/ords/imis/accidentsearch.accident_detail?id=201620275</x:v>
      </x:c>
      <x:c r="AA4" s="39" t="n">
        <x:v>46229</x:v>
      </x:c>
      <x:c r="AB4" s="11" t="str">
        <x:v>1999년 사례로 현재 설비와 직접 동일시할 수 없음.</x:v>
      </x:c>
    </x:row>
    <x:row r="5">
      <x:c r="A5" s="11" t="str">
        <x:v>SC04</x:v>
      </x:c>
      <x:c r="B5" s="11" t="str">
        <x:v>미국</x:v>
      </x:c>
      <x:c r="C5" s="11" t="str">
        <x:v>반도체</x:v>
      </x:c>
      <x:c r="D5" s="39" t="n">
        <x:v>38458</x:v>
      </x:c>
      <x:c r="E5" s="11" t="str">
        <x:v>예방정비</x:v>
      </x:c>
      <x:c r="F5" s="11" t="str">
        <x:v>서브팹·배기라인</x:v>
      </x:c>
      <x:c r="G5" s="11" t="str">
        <x:v>폭발</x:v>
      </x:c>
      <x:c r="H5" s="11" t="str">
        <x:v>실란·TCS 공정 잔류물</x:v>
      </x:c>
      <x:c r="I5" s="11" t="str">
        <x:v>에피택시 반응기 배기라인 정비</x:v>
      </x:c>
      <x:c r="J5" s="11" t="str">
        <x:v>공기 노출·기계적 교란</x:v>
      </x:c>
      <x:c r="K5" s="11" t="str">
        <x:v>배관 내부</x:v>
      </x:c>
      <x:c r="L5" s="11" t="str">
        <x:v>미상</x:v>
      </x:c>
      <x:c r="M5" s="11" t="str">
        <x:v>자연발화성 부산물의 배기라인 내부 폭발</x:v>
      </x:c>
      <x:c r="N5" s="11" t="str">
        <x:v>1·2도 화상·입원</x:v>
      </x:c>
      <x:c r="O5" s="11" t="n">
        <x:v>0</x:v>
      </x:c>
      <x:c r="P5" s="11" t="n">
        <x:v>1</x:v>
      </x:c>
      <x:c r="Q5" s="11" t="str">
        <x:v>OSHA 사고조사</x:v>
      </x:c>
      <x:c r="R5" s="11" t="str">
        <x:v>예</x:v>
      </x:c>
      <x:c r="S5" s="11" t="str">
        <x:v>배기라인 정비 feature</x:v>
      </x:c>
      <x:c r="T5" s="11" t="n">
        <x:v>0</x:v>
      </x:c>
      <x:c r="U5" s="11" t="n">
        <x:v>1</x:v>
      </x:c>
      <x:c r="V5" s="11" t="n">
        <x:v>1</x:v>
      </x:c>
      <x:c r="W5" s="11" t="n">
        <x:v>0</x:v>
      </x:c>
      <x:c r="X5" s="11" t="n">
        <x:v>1</x:v>
      </x:c>
      <x:c r="Y5" s="11" t="n">
        <x:v>1</x:v>
      </x:c>
      <x:c r="Z5" s="11" t="str">
        <x:v>https://www.osha.gov/ords/imis/establishment.inspection_detail?id=119648343</x:v>
      </x:c>
      <x:c r="AA5" s="39" t="n">
        <x:v>46229</x:v>
      </x:c>
      <x:c r="AB5" s="11" t="str">
        <x:v>OSHA 조사요약의 공정 설명을 사용.</x:v>
      </x:c>
    </x:row>
    <x:row r="6">
      <x:c r="A6" s="11" t="str">
        <x:v>SC05</x:v>
      </x:c>
      <x:c r="B6" s="11" t="str">
        <x:v>미국</x:v>
      </x:c>
      <x:c r="C6" s="11" t="str">
        <x:v>화학제조</x:v>
      </x:c>
      <x:c r="D6" s="39" t="n">
        <x:v>43588</x:v>
      </x:c>
      <x:c r="E6" s="11" t="str">
        <x:v>운영</x:v>
      </x:c>
      <x:c r="F6" s="11" t="str">
        <x:v>화학공정</x:v>
      </x:c>
      <x:c r="G6" s="11" t="str">
        <x:v>수소 폭발·화재</x:v>
      </x:c>
      <x:c r="H6" s="11" t="str">
        <x:v>반응 생성 수소</x:v>
      </x:c>
      <x:c r="I6" s="11" t="str">
        <x:v>비호환 화학물 혼합</x:v>
      </x:c>
      <x:c r="J6" s="11" t="str">
        <x:v>미상 점화원</x:v>
      </x:c>
      <x:c r="K6" s="11" t="str">
        <x:v>높음</x:v>
      </x:c>
      <x:c r="L6" s="11" t="str">
        <x:v>불충분</x:v>
      </x:c>
      <x:c r="M6" s="11" t="str">
        <x:v>수소 축적 후 점화·대형 폭발</x:v>
      </x:c>
      <x:c r="N6" s="11" t="str">
        <x:v>사망 4명·시설 파괴</x:v>
      </x:c>
      <x:c r="O6" s="11" t="n">
        <x:v>4</x:v>
      </x:c>
      <x:c r="P6" s="11"/>
      <x:c r="Q6" s="11" t="str">
        <x:v>CSB 사고조사</x:v>
      </x:c>
      <x:c r="R6" s="11" t="str">
        <x:v>예</x:v>
      </x:c>
      <x:c r="S6" s="11" t="str">
        <x:v>수소 축적 유사사례</x:v>
      </x:c>
      <x:c r="T6" s="11" t="n">
        <x:v>0</x:v>
      </x:c>
      <x:c r="U6" s="11" t="n">
        <x:v>1</x:v>
      </x:c>
      <x:c r="V6" s="11" t="n">
        <x:v>0</x:v>
      </x:c>
      <x:c r="W6" s="11" t="n">
        <x:v>0</x:v>
      </x:c>
      <x:c r="X6" s="11" t="n">
        <x:v>1</x:v>
      </x:c>
      <x:c r="Y6" s="11" t="n">
        <x:v>0</x:v>
      </x:c>
      <x:c r="Z6" s="11" t="str">
        <x:v>https://www.csb.gov/ab-specialty-silicones-llc/</x:v>
      </x:c>
      <x:c r="AA6" s="39" t="n">
        <x:v>46229</x:v>
      </x:c>
      <x:c r="AB6" s="11" t="str">
        <x:v>반도체 사고가 아닌 유사 수소 위험 사례.</x:v>
      </x:c>
    </x:row>
    <x:row r="7">
      <x:c r="A7" s="11" t="str">
        <x:v>SC06</x:v>
      </x:c>
      <x:c r="B7" s="11" t="str">
        <x:v>미국</x:v>
      </x:c>
      <x:c r="C7" s="11" t="str">
        <x:v>반도체 팹 확장</x:v>
      </x:c>
      <x:c r="D7" s="39"/>
      <x:c r="E7" s="11" t="str">
        <x:v>건설</x:v>
      </x:c>
      <x:c r="F7" s="11" t="str">
        <x:v>벌크가스·화학물 저장</x:v>
      </x:c>
      <x:c r="G7" s="11" t="str">
        <x:v>누출·화재 잠재</x:v>
      </x:c>
      <x:c r="H7" s="11" t="str">
        <x:v>용접가스·도료·접착제·희석제·용제</x:v>
      </x:c>
      <x:c r="I7" s="11" t="str">
        <x:v>임시 저장·이송 중 누출</x:v>
      </x:c>
      <x:c r="J7" s="11" t="str">
        <x:v>화기·전기</x:v>
      </x:c>
      <x:c r="K7" s="11" t="str">
        <x:v>조건 의존</x:v>
      </x:c>
      <x:c r="L7" s="11" t="str">
        <x:v>조건 의존</x:v>
      </x:c>
      <x:c r="M7" s="11" t="str">
        <x:v>저장 격리·환기·배수에 따라 국부 누출에서 화재 확산</x:v>
      </x:c>
      <x:c r="N7" s="11" t="str">
        <x:v>환경평가 예상 위험</x:v>
      </x:c>
      <x:c r="O7" s="11"/>
      <x:c r="P7" s="11"/>
      <x:c r="Q7" s="11" t="str">
        <x:v>NIST 환경평가</x:v>
      </x:c>
      <x:c r="R7" s="11" t="str">
        <x:v>아니오</x:v>
      </x:c>
      <x:c r="S7" s="11" t="str">
        <x:v>건설 시나리오 생성</x:v>
      </x:c>
      <x:c r="T7" s="11" t="n">
        <x:v>1</x:v>
      </x:c>
      <x:c r="U7" s="11" t="n">
        <x:v>1</x:v>
      </x:c>
      <x:c r="V7" s="11" t="n">
        <x:v>1</x:v>
      </x:c>
      <x:c r="W7" s="11" t="n">
        <x:v>1</x:v>
      </x:c>
      <x:c r="X7" s="11"/>
      <x:c r="Y7" s="11" t="n">
        <x:v>0</x:v>
      </x:c>
      <x:c r="Z7" s="11" t="str">
        <x:v>https://www.nist.gov/system/files/documents/2024/06/28/Final%20PEA%20for%20Modernization%20and%20Expansion%20of%20Semiconductor%20Fabs%206-28-2024%20-%20OGC-508C.pdf</x:v>
      </x:c>
      <x:c r="AA7" s="39" t="n">
        <x:v>46229</x:v>
      </x:c>
      <x:c r="AB7" s="11" t="str">
        <x:v>사고 기록이 아니라 예상 위험.</x:v>
      </x:c>
    </x:row>
    <x:row r="8">
      <x:c r="A8" s="11" t="str">
        <x:v>SC07</x:v>
      </x:c>
      <x:c r="B8" s="11" t="str">
        <x:v>대한민국</x:v>
      </x:c>
      <x:c r="C8" s="11" t="str">
        <x:v>가스취급</x:v>
      </x:c>
      <x:c r="D8" s="39"/>
      <x:c r="E8" s="11" t="str">
        <x:v>공통</x:v>
      </x:c>
      <x:c r="F8" s="11" t="str">
        <x:v>누출원 인접</x:v>
      </x:c>
      <x:c r="G8" s="11" t="str">
        <x:v>즉시점화 가스화재</x:v>
      </x:c>
      <x:c r="H8" s="11" t="str">
        <x:v>가연성가스</x:v>
      </x:c>
      <x:c r="I8" s="11" t="str">
        <x:v>누출 즉시 점화</x:v>
      </x:c>
      <x:c r="J8" s="11" t="str">
        <x:v>누출원 주변 점화원</x:v>
      </x:c>
      <x:c r="K8" s="11" t="str">
        <x:v>국부</x:v>
      </x:c>
      <x:c r="L8" s="11" t="str">
        <x:v>조건 의존</x:v>
      </x:c>
      <x:c r="M8" s="11" t="str">
        <x:v>혼합기 형성 전 누출부 확산화염·정재화염</x:v>
      </x:c>
      <x:c r="N8" s="11" t="str">
        <x:v>물리 시나리오</x:v>
      </x:c>
      <x:c r="O8" s="11"/>
      <x:c r="P8" s="11"/>
      <x:c r="Q8" s="11" t="str">
        <x:v>KOSHA 연구보고서</x:v>
      </x:c>
      <x:c r="R8" s="11" t="str">
        <x:v>아니오</x:v>
      </x:c>
      <x:c r="S8" s="11" t="str">
        <x:v>확산 모드 라벨</x:v>
      </x:c>
      <x:c r="T8" s="11" t="n">
        <x:v>0</x:v>
      </x:c>
      <x:c r="U8" s="11" t="n">
        <x:v>1</x:v>
      </x:c>
      <x:c r="V8" s="11" t="n">
        <x:v>0</x:v>
      </x:c>
      <x:c r="W8" s="11" t="n">
        <x:v>0</x:v>
      </x:c>
      <x:c r="X8" s="11" t="n">
        <x:v>0</x:v>
      </x:c>
      <x:c r="Y8" s="11" t="n">
        <x:v>0</x:v>
      </x:c>
      <x:c r="Z8" s="11" t="str">
        <x:v>https://oshri.kosha.or.kr/oshri/publication/researchReportSearch.do?articleNo=438654&amp;attachNo=247549&amp;mode=download</x:v>
      </x:c>
      <x:c r="AA8" s="39" t="n">
        <x:v>46229</x:v>
      </x:c>
      <x:c r="AB8" s="11" t="str">
        <x:v>특정 물질·누출량·풍속에 대한 정량값 없음.</x:v>
      </x:c>
    </x:row>
    <x:row r="9">
      <x:c r="A9" s="11" t="str">
        <x:v>SC08</x:v>
      </x:c>
      <x:c r="B9" s="11" t="str">
        <x:v>대한민국</x:v>
      </x:c>
      <x:c r="C9" s="11" t="str">
        <x:v>가스취급</x:v>
      </x:c>
      <x:c r="D9" s="39"/>
      <x:c r="E9" s="11" t="str">
        <x:v>공통</x:v>
      </x:c>
      <x:c r="F9" s="11" t="str">
        <x:v>밀폐·반밀폐</x:v>
      </x:c>
      <x:c r="G9" s="11" t="str">
        <x:v>지연점화 가스폭발</x:v>
      </x:c>
      <x:c r="H9" s="11" t="str">
        <x:v>가연성가스</x:v>
      </x:c>
      <x:c r="I9" s="11" t="str">
        <x:v>누출 후 혼합기 형성</x:v>
      </x:c>
      <x:c r="J9" s="11" t="str">
        <x:v>지연 점화원</x:v>
      </x:c>
      <x:c r="K9" s="11" t="str">
        <x:v>높음</x:v>
      </x:c>
      <x:c r="L9" s="11" t="str">
        <x:v>불충분</x:v>
      </x:c>
      <x:c r="M9" s="11" t="str">
        <x:v>가연성 예혼합기 형성 후 화염전파·폭발</x:v>
      </x:c>
      <x:c r="N9" s="11" t="str">
        <x:v>물리 시나리오</x:v>
      </x:c>
      <x:c r="O9" s="11"/>
      <x:c r="P9" s="11"/>
      <x:c r="Q9" s="11" t="str">
        <x:v>KOSHA 연구보고서</x:v>
      </x:c>
      <x:c r="R9" s="11" t="str">
        <x:v>아니오</x:v>
      </x:c>
      <x:c r="S9" s="11" t="str">
        <x:v>폭발 모드 라벨</x:v>
      </x:c>
      <x:c r="T9" s="11" t="n">
        <x:v>0</x:v>
      </x:c>
      <x:c r="U9" s="11" t="n">
        <x:v>1</x:v>
      </x:c>
      <x:c r="V9" s="11" t="n">
        <x:v>0</x:v>
      </x:c>
      <x:c r="W9" s="11" t="n">
        <x:v>0</x:v>
      </x:c>
      <x:c r="X9" s="11" t="n">
        <x:v>1</x:v>
      </x:c>
      <x:c r="Y9" s="11" t="n">
        <x:v>0</x:v>
      </x:c>
      <x:c r="Z9" s="11" t="str">
        <x:v>https://oshri.kosha.or.kr/oshri/publication/researchReportSearch.do?articleNo=438654&amp;attachNo=247549&amp;mode=download</x:v>
      </x:c>
      <x:c r="AA9" s="39" t="n">
        <x:v>46229</x:v>
      </x:c>
      <x:c r="AB9" s="11" t="str">
        <x:v>정량 확률로 사용 금지.</x:v>
      </x:c>
    </x:row>
    <x:row r="10">
      <x:c r="A10" s="11" t="str">
        <x:v>SC09</x:v>
      </x:c>
      <x:c r="B10" s="11" t="str">
        <x:v>대한민국</x:v>
      </x:c>
      <x:c r="C10" s="11" t="str">
        <x:v>건설</x:v>
      </x:c>
      <x:c r="D10" s="39"/>
      <x:c r="E10" s="11" t="str">
        <x:v>건설</x:v>
      </x:c>
      <x:c r="F10" s="11" t="str">
        <x:v>도장·방수</x:v>
      </x:c>
      <x:c r="G10" s="11" t="str">
        <x:v>화재·폭발 잠재</x:v>
      </x:c>
      <x:c r="H10" s="11" t="str">
        <x:v>유성페인트·에폭시·폴리머</x:v>
      </x:c>
      <x:c r="I10" s="11" t="str">
        <x:v>증기 발생·관리 미흡</x:v>
      </x:c>
      <x:c r="J10" s="11" t="str">
        <x:v>용접·전기·정전기</x:v>
      </x:c>
      <x:c r="K10" s="11" t="str">
        <x:v>조건 의존</x:v>
      </x:c>
      <x:c r="L10" s="11" t="str">
        <x:v>환기 중요</x:v>
      </x:c>
      <x:c r="M10" s="11" t="str">
        <x:v>증기 체류 후 점화 시 화재·폭발</x:v>
      </x:c>
      <x:c r="N10" s="11" t="str">
        <x:v>KOSHA 연구의 기인물 범주</x:v>
      </x:c>
      <x:c r="O10" s="11"/>
      <x:c r="P10" s="11"/>
      <x:c r="Q10" s="11" t="str">
        <x:v>KOSHA 연구보고서</x:v>
      </x:c>
      <x:c r="R10" s="11" t="str">
        <x:v>아니오</x:v>
      </x:c>
      <x:c r="S10" s="11" t="str">
        <x:v>구역 위험가중치 근거</x:v>
      </x:c>
      <x:c r="T10" s="11" t="n">
        <x:v>1</x:v>
      </x:c>
      <x:c r="U10" s="11" t="n">
        <x:v>1</x:v>
      </x:c>
      <x:c r="V10" s="11" t="n">
        <x:v>1</x:v>
      </x:c>
      <x:c r="W10" s="11" t="n">
        <x:v>1</x:v>
      </x:c>
      <x:c r="X10" s="11"/>
      <x:c r="Y10" s="11" t="n">
        <x:v>0</x:v>
      </x:c>
      <x:c r="Z10" s="11" t="str">
        <x:v>https://oshri.kosha.or.kr/oshri/publication/researchReportSearch.do?articleNo=63382&amp;attachNo=&amp;mode=view</x:v>
      </x:c>
      <x:c r="AA10" s="39" t="n">
        <x:v>46229</x:v>
      </x:c>
      <x:c r="AB10" s="11" t="str">
        <x:v>개별 사고가 아닌 10년 통계·위험성 연구 요약.</x:v>
      </x:c>
    </x:row>
    <x:row r="11">
      <x:c r="A11" s="12" t="str">
        <x:v>SC10</x:v>
      </x:c>
      <x:c r="B11" s="12" t="str">
        <x:v>미국</x:v>
      </x:c>
      <x:c r="C11" s="12" t="str">
        <x:v>반도체 연구시설</x:v>
      </x:c>
      <x:c r="D11" s="42"/>
      <x:c r="E11" s="12" t="str">
        <x:v>가스 인수·교체</x:v>
      </x:c>
      <x:c r="F11" s="12" t="str">
        <x:v>가스 캐비닛·반입동선</x:v>
      </x:c>
      <x:c r="G11" s="12" t="str">
        <x:v>압축가스 누출 잠재</x:v>
      </x:c>
      <x:c r="H11" s="12" t="str">
        <x:v>실란·암모니아 등 HPM</x:v>
      </x:c>
      <x:c r="I11" s="12" t="str">
        <x:v>실린더 배송·교체 중 누출</x:v>
      </x:c>
      <x:c r="J11" s="12" t="str">
        <x:v>공기 접촉·기타 점화원</x:v>
      </x:c>
      <x:c r="K11" s="12" t="str">
        <x:v>국부</x:v>
      </x:c>
      <x:c r="L11" s="12" t="str">
        <x:v>배기 시스템 의존</x:v>
      </x:c>
      <x:c r="M11" s="12" t="str">
        <x:v>배송구역·캐비닛 배기·공정장비 배기·주변공기 감시 필요</x:v>
      </x:c>
      <x:c r="N11" s="12" t="str">
        <x:v>NIST 비상대응 프로그램</x:v>
      </x:c>
      <x:c r="O11" s="12"/>
      <x:c r="P11" s="12"/>
      <x:c r="Q11" s="12" t="str">
        <x:v>NIST 시설 안전매뉴얼</x:v>
      </x:c>
      <x:c r="R11" s="12" t="str">
        <x:v>아니오</x:v>
      </x:c>
      <x:c r="S11" s="12" t="str">
        <x:v>센서 후보 위치 근거</x:v>
      </x:c>
      <x:c r="T11" s="12" t="n">
        <x:v>0</x:v>
      </x:c>
      <x:c r="U11" s="12" t="n">
        <x:v>1</x:v>
      </x:c>
      <x:c r="V11" s="12" t="n">
        <x:v>1</x:v>
      </x:c>
      <x:c r="W11" s="12" t="n">
        <x:v>0</x:v>
      </x:c>
      <x:c r="X11" s="12" t="n">
        <x:v>0</x:v>
      </x:c>
      <x:c r="Y11" s="12" t="n">
        <x:v>1</x:v>
      </x:c>
      <x:c r="Z11" s="12" t="str">
        <x:v>https://www.nist.gov/document/cleanroomsafetymanualpdf</x:v>
      </x:c>
      <x:c r="AA11" s="42" t="n">
        <x:v>46229</x:v>
      </x:c>
      <x:c r="AB11" s="12" t="str">
        <x:v>연구시설 운영사례이며 대형 팹 건설현장과 규모가 다름.</x:v>
      </x:c>
    </x:row>
  </x:sheetData>
  <x:pageMargins left="0.7" right="0.7" top="0.75" bottom="0.75" header="0.3" footer="0.3"/>
  <x:tableParts count="1">
    <x:tablePart xmlns:r="http://schemas.openxmlformats.org/officeDocument/2006/relationships" r:id="R451bb5e5d4dc45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42" hidden="0" customWidth="1"/>
    <x:col min="5" max="5" width="10" hidden="0" customWidth="1"/>
    <x:col min="6" max="6" width="32" hidden="0" customWidth="1"/>
    <x:col min="7" max="7" width="55" hidden="0" customWidth="1"/>
    <x:col min="8" max="8" width="30" hidden="0" customWidth="1"/>
    <x:col min="9" max="9" width="34" hidden="0" customWidth="1"/>
    <x:col min="10" max="10" width="10" hidden="0" customWidth="1"/>
    <x:col min="11" max="11" width="58" hidden="0" customWidth="1"/>
    <x:col min="12" max="12" width="42" hidden="0" customWidth="1"/>
    <x:col min="13" max="13" width="45" hidden="0" customWidth="1"/>
  </x:cols>
  <x:sheetData>
    <x:row r="1" ht="34" customHeight="1">
      <x:c r="A1" s="8" t="str">
        <x:v>criterion_id</x:v>
      </x:c>
      <x:c r="B1" s="14" t="str">
        <x:v>문서구분</x:v>
      </x:c>
      <x:c r="C1" s="14" t="str">
        <x:v>문서명_조항</x:v>
      </x:c>
      <x:c r="D1" s="14" t="str">
        <x:v>시행일</x:v>
      </x:c>
      <x:c r="E1" s="14" t="str">
        <x:v>법적성격</x:v>
      </x:c>
      <x:c r="F1" s="14" t="str">
        <x:v>대상</x:v>
      </x:c>
      <x:c r="G1" s="14" t="str">
        <x:v>핵심요건</x:v>
      </x:c>
      <x:c r="H1" s="14" t="str">
        <x:v>핵심수치</x:v>
      </x:c>
      <x:c r="I1" s="14" t="str">
        <x:v>QUBO변환</x:v>
      </x:c>
      <x:c r="J1" s="14" t="str">
        <x:v>hard_soft</x:v>
      </x:c>
      <x:c r="K1" s="14" t="str">
        <x:v>출처URL</x:v>
      </x:c>
      <x:c r="L1" s="14" t="str">
        <x:v>확인일</x:v>
      </x:c>
      <x:c r="M1" s="9" t="str">
        <x:v>한계</x:v>
      </x:c>
    </x:row>
    <x:row r="2">
      <x:c r="A2" s="10" t="str">
        <x:v>L01</x:v>
      </x:c>
      <x:c r="B2" s="10" t="str">
        <x:v>법령</x:v>
      </x:c>
      <x:c r="C2" s="10" t="str">
        <x:v>산업안전보건기준에 관한 규칙 제232조</x:v>
      </x:c>
      <x:c r="D2" s="36" t="n">
        <x:v>46083</x:v>
      </x:c>
      <x:c r="E2" s="10" t="str">
        <x:v>의무</x:v>
      </x:c>
      <x:c r="F2" s="10" t="str">
        <x:v>인화성 증기·가스·고체 위험장소</x:v>
      </x:c>
      <x:c r="G2" s="10" t="str">
        <x:v>환기장치 및 가스 검지·경보장치 설치</x:v>
      </x:c>
      <x:c r="H2" s="10"/>
      <x:c r="I2" s="10" t="str">
        <x:v>위험구역 최소 1개 적합 감지기</x:v>
      </x:c>
      <x:c r="J2" s="10" t="str">
        <x:v>hard</x:v>
      </x:c>
      <x:c r="K2" s="10" t="str">
        <x:v>https://www.law.go.kr/lsLinkCommonInfo.do?lsJoLnkSeq=1028063319</x:v>
      </x:c>
      <x:c r="L2" s="36" t="n">
        <x:v>46229</x:v>
      </x:c>
      <x:c r="M2" s="10" t="str">
        <x:v>0·1종 방폭위험장소 예외조항은 현장 법률검토 필요.</x:v>
      </x:c>
    </x:row>
    <x:row r="3">
      <x:c r="A3" s="11" t="str">
        <x:v>L02</x:v>
      </x:c>
      <x:c r="B3" s="11" t="str">
        <x:v>법령</x:v>
      </x:c>
      <x:c r="C3" s="11" t="str">
        <x:v>산업안전보건기준에 관한 규칙 제299조</x:v>
      </x:c>
      <x:c r="D3" s="39" t="n">
        <x:v>46083</x:v>
      </x:c>
      <x:c r="E3" s="11" t="str">
        <x:v>의무</x:v>
      </x:c>
      <x:c r="F3" s="11" t="str">
        <x:v>급성 독성물질 취급설비</x:v>
      </x:c>
      <x:c r="G3" s="11" t="str">
        <x:v>연결부 월 1회 이상 점검·외부누출 감지경보</x:v>
      </x:c>
      <x:c r="H3" s="11" t="str">
        <x:v>월 1회 이상</x:v>
      </x:c>
      <x:c r="I3" s="11" t="str">
        <x:v>독성물질 연결부 인접 감지기</x:v>
      </x:c>
      <x:c r="J3" s="11" t="str">
        <x:v>hard</x:v>
      </x:c>
      <x:c r="K3" s="11" t="str">
        <x:v>https://law.go.kr/LSW/lsLinkCommonInfo.do?lsJoLnkSeq=1020528783</x:v>
      </x:c>
      <x:c r="L3" s="39" t="n">
        <x:v>46229</x:v>
      </x:c>
      <x:c r="M3" s="11" t="str">
        <x:v>물질의 급성독성 해당 여부 별도 확인.</x:v>
      </x:c>
    </x:row>
    <x:row r="4">
      <x:c r="A4" s="11" t="str">
        <x:v>L03</x:v>
      </x:c>
      <x:c r="B4" s="11" t="str">
        <x:v>고용노동부고시</x:v>
      </x:c>
      <x:c r="C4" s="11" t="str">
        <x:v>가스누출감지경보기 설치 기술상 지침 제4조</x:v>
      </x:c>
      <x:c r="D4" s="39" t="n">
        <x:v>43846</x:v>
      </x:c>
      <x:c r="E4" s="11" t="str">
        <x:v>지도·권고</x:v>
      </x:c>
      <x:c r="F4" s="11" t="str">
        <x:v>압축기·밸브·반응기·배관연결부·충진접속부</x:v>
      </x:c>
      <x:c r="G4" s="11" t="str">
        <x:v>누출 우려 설비 주변과 가스 체류장소 설치</x:v>
      </x:c>
      <x:c r="H4" s="11"/>
      <x:c r="I4" s="11" t="str">
        <x:v>누출원 인접도 보상</x:v>
      </x:c>
      <x:c r="J4" s="11" t="str">
        <x:v>soft</x:v>
      </x:c>
      <x:c r="K4" s="11" t="str">
        <x:v>https://www.law.go.kr/LSW/admRulLsInfoP.do?admRulSeq=2100000186062</x:v>
      </x:c>
      <x:c r="L4" s="39" t="n">
        <x:v>46229</x:v>
      </x:c>
      <x:c r="M4" s="11" t="str">
        <x:v>법령 의무조항과 지침을 구분해 인용.</x:v>
      </x:c>
    </x:row>
    <x:row r="5">
      <x:c r="A5" s="11" t="str">
        <x:v>L04</x:v>
      </x:c>
      <x:c r="B5" s="11" t="str">
        <x:v>고용노동부고시</x:v>
      </x:c>
      <x:c r="C5" s="11" t="str">
        <x:v>동 지침 제5조</x:v>
      </x:c>
      <x:c r="D5" s="39" t="n">
        <x:v>43846</x:v>
      </x:c>
      <x:c r="E5" s="11" t="str">
        <x:v>지도·권고</x:v>
      </x:c>
      <x:c r="F5" s="11" t="str">
        <x:v>실내·실외 가스감지기</x:v>
      </x:c>
      <x:c r="G5" s="11" t="str">
        <x:v>풍향·풍속·비중·환기 고려; 무거운 가스 하부, 가벼운 가스 상부/환기구</x:v>
      </x:c>
      <x:c r="H5" s="11"/>
      <x:c r="I5" s="11" t="str">
        <x:v>가스 비중 부적합 후보 제외</x:v>
      </x:c>
      <x:c r="J5" s="11" t="str">
        <x:v>hard/soft</x:v>
      </x:c>
      <x:c r="K5" s="11" t="str">
        <x:v>https://www.law.go.kr/LSW/admRulLsInfoP.do?admRulSeq=2100000186062</x:v>
      </x:c>
      <x:c r="L5" s="39" t="n">
        <x:v>46229</x:v>
      </x:c>
      <x:c r="M5" s="11" t="str">
        <x:v>실제 풍장·공조 데이터 필요.</x:v>
      </x:c>
    </x:row>
    <x:row r="6">
      <x:c r="A6" s="11" t="str">
        <x:v>L05</x:v>
      </x:c>
      <x:c r="B6" s="11" t="str">
        <x:v>고용노동부고시</x:v>
      </x:c>
      <x:c r="C6" s="11" t="str">
        <x:v>동 지침 제6조</x:v>
      </x:c>
      <x:c r="D6" s="39" t="n">
        <x:v>43846</x:v>
      </x:c>
      <x:c r="E6" s="11" t="str">
        <x:v>지도·권고</x:v>
      </x:c>
      <x:c r="F6" s="11" t="str">
        <x:v>가연성가스</x:v>
      </x:c>
      <x:c r="G6" s="11" t="str">
        <x:v>경보 설정</x:v>
      </x:c>
      <x:c r="H6" s="11" t="str">
        <x:v>LEL 25% 이하</x:v>
      </x:c>
      <x:c r="I6" s="11" t="str">
        <x:v>경보 임계값 입력</x:v>
      </x:c>
      <x:c r="J6" s="11" t="str">
        <x:v>parameter</x:v>
      </x:c>
      <x:c r="K6" s="11" t="str">
        <x:v>https://www.law.go.kr/LSW/admRulLsInfoP.do?admRulSeq=2100000186062</x:v>
      </x:c>
      <x:c r="L6" s="39" t="n">
        <x:v>46229</x:v>
      </x:c>
      <x:c r="M6" s="11" t="str">
        <x:v>센서 간격·반경 수치가 아님.</x:v>
      </x:c>
    </x:row>
    <x:row r="7">
      <x:c r="A7" s="11" t="str">
        <x:v>L06</x:v>
      </x:c>
      <x:c r="B7" s="11" t="str">
        <x:v>고용노동부고시</x:v>
      </x:c>
      <x:c r="C7" s="11" t="str">
        <x:v>동 지침 제6조</x:v>
      </x:c>
      <x:c r="D7" s="39" t="n">
        <x:v>43846</x:v>
      </x:c>
      <x:c r="E7" s="11" t="str">
        <x:v>지도·권고</x:v>
      </x:c>
      <x:c r="F7" s="11" t="str">
        <x:v>독성가스</x:v>
      </x:c>
      <x:c r="G7" s="11" t="str">
        <x:v>허용농도 이하에서 경보</x:v>
      </x:c>
      <x:c r="H7" s="11" t="str">
        <x:v>허용농도 이하</x:v>
      </x:c>
      <x:c r="I7" s="11" t="str">
        <x:v>가스별 임계값 입력</x:v>
      </x:c>
      <x:c r="J7" s="11" t="str">
        <x:v>parameter</x:v>
      </x:c>
      <x:c r="K7" s="11" t="str">
        <x:v>https://www.law.go.kr/LSW/admRulLsInfoP.do?admRulSeq=2100000186062</x:v>
      </x:c>
      <x:c r="L7" s="39" t="n">
        <x:v>46229</x:v>
      </x:c>
      <x:c r="M7" s="11" t="str">
        <x:v>가스별 국내 노출기준 확인 필요.</x:v>
      </x:c>
    </x:row>
    <x:row r="8">
      <x:c r="A8" s="11" t="str">
        <x:v>L07</x:v>
      </x:c>
      <x:c r="B8" s="11" t="str">
        <x:v>고용노동부고시</x:v>
      </x:c>
      <x:c r="C8" s="11" t="str">
        <x:v>동 지침 제7조</x:v>
      </x:c>
      <x:c r="D8" s="39" t="n">
        <x:v>43846</x:v>
      </x:c>
      <x:c r="E8" s="11" t="str">
        <x:v>지도·권고</x:v>
      </x:c>
      <x:c r="F8" s="11" t="str">
        <x:v>가스누출감지경보기</x:v>
      </x:c>
      <x:c r="G8" s="11" t="str">
        <x:v>경보농도 1.6배에서 응답</x:v>
      </x:c>
      <x:c r="H8" s="11" t="str">
        <x:v>보통 30초 이내; CO 등 1분 이내</x:v>
      </x:c>
      <x:c r="I8" s="11" t="str">
        <x:v>지연시간 위험패널티</x:v>
      </x:c>
      <x:c r="J8" s="11" t="str">
        <x:v>soft</x:v>
      </x:c>
      <x:c r="K8" s="11" t="str">
        <x:v>https://www.law.go.kr/LSW/admRulLsInfoP.do?admRulSeq=2100000186062</x:v>
      </x:c>
      <x:c r="L8" s="39" t="n">
        <x:v>46229</x:v>
      </x:c>
      <x:c r="M8" s="11" t="str">
        <x:v>제품 사양과 법정/지침 성능요건을 함께 확인.</x:v>
      </x:c>
    </x:row>
    <x:row r="9">
      <x:c r="A9" s="11" t="str">
        <x:v>L08</x:v>
      </x:c>
      <x:c r="B9" s="11" t="str">
        <x:v>소방청고시</x:v>
      </x:c>
      <x:c r="C9" s="11" t="str">
        <x:v>NFPC 203 제7조</x:v>
      </x:c>
      <x:c r="D9" s="39" t="n">
        <x:v>46082</x:v>
      </x:c>
      <x:c r="E9" s="11" t="str">
        <x:v>성능기준</x:v>
      </x:c>
      <x:c r="F9" s="11" t="str">
        <x:v>화재감지기</x:v>
      </x:c>
      <x:c r="G9" s="11" t="str">
        <x:v>공기유입구에서 이격·천장/반자 설치</x:v>
      </x:c>
      <x:c r="H9" s="11" t="str">
        <x:v>공기유입구 1.5 m 이상</x:v>
      </x:c>
      <x:c r="I9" s="11" t="str">
        <x:v>부적합 후보 제외</x:v>
      </x:c>
      <x:c r="J9" s="11" t="str">
        <x:v>hard</x:v>
      </x:c>
      <x:c r="K9" s="11" t="str">
        <x:v>https://www.law.go.kr/LSW/admRulInfoP.do?admRulSeq=2100000269850&amp;chrClsCd=010201</x:v>
      </x:c>
      <x:c r="L9" s="39" t="n">
        <x:v>46229</x:v>
      </x:c>
      <x:c r="M9" s="11" t="str">
        <x:v>감지기 종류·부착높이별 표 기준 추가 적용.</x:v>
      </x:c>
    </x:row>
    <x:row r="10">
      <x:c r="A10" s="12" t="str">
        <x:v>L09</x:v>
      </x:c>
      <x:c r="B10" s="12" t="str">
        <x:v>소방청고시</x:v>
      </x:c>
      <x:c r="C10" s="12" t="str">
        <x:v>NFPC 203 제7조</x:v>
      </x:c>
      <x:c r="D10" s="42" t="n">
        <x:v>46082</x:v>
      </x:c>
      <x:c r="E10" s="12" t="str">
        <x:v>성능기준</x:v>
      </x:c>
      <x:c r="F10" s="12" t="str">
        <x:v>복도·계단·승강로 등</x:v>
      </x:c>
      <x:c r="G10" s="12" t="str">
        <x:v>장소 적응성 있는 연기감지기 설치</x:v>
      </x:c>
      <x:c r="H10" s="12" t="str">
        <x:v>종류·높이·면적별 표 적용</x:v>
      </x:c>
      <x:c r="I10" s="12" t="str">
        <x:v>피난동선 커버리지</x:v>
      </x:c>
      <x:c r="J10" s="12" t="str">
        <x:v>hard</x:v>
      </x:c>
      <x:c r="K10" s="12" t="str">
        <x:v>https://www.law.go.kr/LSW/admRulInfoP.do?admRulSeq=2100000269850&amp;chrClsCd=010201</x:v>
      </x:c>
      <x:c r="L10" s="42" t="n">
        <x:v>46229</x:v>
      </x:c>
      <x:c r="M10" s="12" t="str">
        <x:v>단일 보편 반경으로 환산하지 말 것.</x:v>
      </x:c>
    </x:row>
  </x:sheetData>
  <x:pageMargins left="0.7" right="0.7" top="0.75" bottom="0.75" header="0.3" footer="0.3"/>
  <x:tableParts count="1">
    <x:tablePart xmlns:r="http://schemas.openxmlformats.org/officeDocument/2006/relationships" r:id="R8c1913c1da634d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1" hidden="0" customWidth="1"/>
    <x:col min="4" max="4" width="10" hidden="0" customWidth="1"/>
    <x:col min="5" max="5" width="14" hidden="0" customWidth="1"/>
    <x:col min="6" max="6" width="10" hidden="0" customWidth="1"/>
    <x:col min="7" max="7" width="14" hidden="0" customWidth="1"/>
    <x:col min="8" max="8" width="13" hidden="0" customWidth="1"/>
    <x:col min="9" max="9" width="10" hidden="0" customWidth="1"/>
    <x:col min="10" max="10" width="10" hidden="0" customWidth="1"/>
    <x:col min="11" max="11" width="10" hidden="0" customWidth="1"/>
    <x:col min="12" max="12" width="11" hidden="0" customWidth="1"/>
    <x:col min="13" max="13" width="11" hidden="0" customWidth="1"/>
    <x:col min="14" max="14" width="25" hidden="0" customWidth="1"/>
    <x:col min="15" max="15" width="42" hidden="0" customWidth="1"/>
    <x:col min="16" max="16" width="58" hidden="0" customWidth="1"/>
    <x:col min="17" max="17" width="42" hidden="0" customWidth="1"/>
    <x:col min="18" max="18" width="50" hidden="0" customWidth="1"/>
  </x:cols>
  <x:sheetData>
    <x:row r="1" ht="34" customHeight="1">
      <x:c r="A1" s="8" t="str">
        <x:v>system</x:v>
      </x:c>
      <x:c r="B1" s="14" t="str">
        <x:v>물리큐비트</x:v>
      </x:c>
      <x:c r="C1" s="14" t="str">
        <x:v>연결성</x:v>
      </x:c>
      <x:c r="D1" s="14" t="str">
        <x:v>1Q오류율_pct</x:v>
      </x:c>
      <x:c r="E1" s="14" t="str">
        <x:v>1Q충실도_pct_계산</x:v>
      </x:c>
      <x:c r="F1" s="14" t="str">
        <x:v>2Q오류율_pct</x:v>
      </x:c>
      <x:c r="G1" s="14" t="str">
        <x:v>2Q충실도_pct_계산</x:v>
      </x:c>
      <x:c r="H1" s="14" t="str">
        <x:v>SPAM오류율_pct</x:v>
      </x:c>
      <x:c r="I1" s="14" t="str">
        <x:v>T1최저_s</x:v>
      </x:c>
      <x:c r="J1" s="14" t="str">
        <x:v>T1최고_s</x:v>
      </x:c>
      <x:c r="K1" s="14" t="str">
        <x:v>T2근사_s</x:v>
      </x:c>
      <x:c r="L1" s="14" t="str">
        <x:v>1Q게이트시간_us</x:v>
      </x:c>
      <x:c r="M1" s="14" t="str">
        <x:v>2Q게이트시간_us</x:v>
      </x:c>
      <x:c r="N1" s="14" t="str">
        <x:v>공개값성격</x:v>
      </x:c>
      <x:c r="O1" s="14" t="str">
        <x:v>노이즈모델권장</x:v>
      </x:c>
      <x:c r="P1" s="14" t="str">
        <x:v>출처URL</x:v>
      </x:c>
      <x:c r="Q1" s="14" t="str">
        <x:v>확인일</x:v>
      </x:c>
      <x:c r="R1" s="9" t="str">
        <x:v>한계</x:v>
      </x:c>
    </x:row>
    <x:row r="2">
      <x:c r="A2" s="10" t="str">
        <x:v>IonQ Aria</x:v>
      </x:c>
      <x:c r="B2" s="10" t="n">
        <x:v>21</x:v>
      </x:c>
      <x:c r="C2" s="10" t="str">
        <x:v>all-to-all</x:v>
      </x:c>
      <x:c r="D2" s="19" t="n">
        <x:v>0.05</x:v>
      </x:c>
      <x:c r="E2" s="19" t="n">
        <x:f>100-D2</x:f>
        <x:v>99.95</x:v>
      </x:c>
      <x:c r="F2" s="19" t="n">
        <x:v>0.4</x:v>
      </x:c>
      <x:c r="G2" s="19" t="n">
        <x:f>100-F2</x:f>
        <x:v>99.6</x:v>
      </x:c>
      <x:c r="H2" s="19" t="n">
        <x:v>0.39</x:v>
      </x:c>
      <x:c r="I2" s="10" t="n">
        <x:v>10</x:v>
      </x:c>
      <x:c r="J2" s="10" t="n">
        <x:v>100</x:v>
      </x:c>
      <x:c r="K2" s="10" t="n">
        <x:v>1</x:v>
      </x:c>
      <x:c r="L2" s="10" t="n">
        <x:v>135</x:v>
      </x:c>
      <x:c r="M2" s="10" t="n">
        <x:v>600</x:v>
      </x:c>
      <x:c r="N2" s="10" t="str">
        <x:v>시스템 평균 요약</x:v>
      </x:c>
      <x:c r="O2" s="10" t="str">
        <x:v>공식 평균의 0.5×/1×/2× 민감도 분석</x:v>
      </x:c>
      <x:c r="P2" s="10" t="str">
        <x:v>https://www.ionq.com/resources/ionq-aria-practical-performance</x:v>
      </x:c>
      <x:c r="Q2" s="36" t="n">
        <x:v>46229</x:v>
      </x:c>
      <x:c r="R2" s="10" t="str">
        <x:v>큐비트쌍별 분포·드리프트·상관오류·누화 미공개.</x:v>
      </x:c>
    </x:row>
    <x:row r="3">
      <x:c r="A3" s="12" t="str">
        <x:v>IonQ Forte</x:v>
      </x:c>
      <x:c r="B3" s="12" t="n">
        <x:v>36</x:v>
      </x:c>
      <x:c r="C3" s="12" t="str">
        <x:v>all-to-all</x:v>
      </x:c>
      <x:c r="D3" s="21" t="n">
        <x:v>0.02</x:v>
      </x:c>
      <x:c r="E3" s="21" t="n">
        <x:f>100-D3</x:f>
        <x:v>99.98</x:v>
      </x:c>
      <x:c r="F3" s="21" t="n">
        <x:v>0.4</x:v>
      </x:c>
      <x:c r="G3" s="21" t="n">
        <x:f>100-F3</x:f>
        <x:v>99.6</x:v>
      </x:c>
      <x:c r="H3" s="21" t="n">
        <x:v>0.5</x:v>
      </x:c>
      <x:c r="I3" s="12" t="n">
        <x:v>10</x:v>
      </x:c>
      <x:c r="J3" s="12" t="n">
        <x:v>100</x:v>
      </x:c>
      <x:c r="K3" s="12" t="n">
        <x:v>1</x:v>
      </x:c>
      <x:c r="L3" s="12"/>
      <x:c r="M3" s="12"/>
      <x:c r="N3" s="12" t="str">
        <x:v>시스템 평균 요약</x:v>
      </x:c>
      <x:c r="O3" s="12" t="str">
        <x:v>실제 provider calibration metadata 우선</x:v>
      </x:c>
      <x:c r="P3" s="12" t="str">
        <x:v>https://www.ionq.com/quantum-systems/forte</x:v>
      </x:c>
      <x:c r="Q3" s="42" t="n">
        <x:v>46229</x:v>
      </x:c>
      <x:c r="R3" s="12" t="str">
        <x:v>게이트시간은 해당 공식 페이지에 수치 미제공. T1/T2 표기 순서는 Aria와 같은 방식으로 해석.</x:v>
      </x:c>
    </x:row>
  </x:sheetData>
  <x:pageMargins left="0.7" right="0.7" top="0.75" bottom="0.75" header="0.3" footer="0.3"/>
  <x:tableParts count="1">
    <x:tablePart xmlns:r="http://schemas.openxmlformats.org/officeDocument/2006/relationships" r:id="Rb2c43de328174e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46" hidden="0" customWidth="1"/>
    <x:col min="4" max="4" width="11" hidden="0" customWidth="1"/>
    <x:col min="5" max="5" width="62" hidden="0" customWidth="1"/>
    <x:col min="6" max="6" width="42" hidden="0" customWidth="1"/>
    <x:col min="7" max="7" width="40" hidden="0" customWidth="1"/>
    <x:col min="8" max="8" width="45" hidden="0" customWidth="1"/>
    <x:col min="9" max="9" width="10" hidden="0" customWidth="1"/>
    <x:col min="10" max="10" width="38" hidden="0" customWidth="1"/>
  </x:cols>
  <x:sheetData>
    <x:row r="1" ht="34" customHeight="1">
      <x:c r="A1" s="8" t="str">
        <x:v>source_id</x:v>
      </x:c>
      <x:c r="B1" s="14" t="str">
        <x:v>기관</x:v>
      </x:c>
      <x:c r="C1" s="14" t="str">
        <x:v>자료명</x:v>
      </x:c>
      <x:c r="D1" s="14" t="str">
        <x:v>자료유형</x:v>
      </x:c>
      <x:c r="E1" s="14" t="str">
        <x:v>URL</x:v>
      </x:c>
      <x:c r="F1" s="14" t="str">
        <x:v>확인일</x:v>
      </x:c>
      <x:c r="G1" s="14" t="str">
        <x:v>사용범위</x:v>
      </x:c>
      <x:c r="H1" s="14" t="str">
        <x:v>라이선스_이용조건</x:v>
      </x:c>
      <x:c r="I1" s="14" t="str">
        <x:v>품질등급</x:v>
      </x:c>
      <x:c r="J1" s="9" t="str">
        <x:v>비고</x:v>
      </x:c>
    </x:row>
    <x:row r="2">
      <x:c r="A2" s="10" t="str">
        <x:v>SRC01</x:v>
      </x:c>
      <x:c r="B2" s="10" t="str">
        <x:v>SIA</x:v>
      </x:c>
      <x:c r="C2" s="10" t="str">
        <x:v>Background on Semiconductor Manufacturing and PFAS</x:v>
      </x:c>
      <x:c r="D2" s="10" t="str">
        <x:v>산업협회 보고서</x:v>
      </x:c>
      <x:c r="E2" s="10" t="str">
        <x:v>https://www.semiconductors.org/wp-content/uploads/2023/05/FINAL-PFAS-Consortium-Background-Paper.pdf</x:v>
      </x:c>
      <x:c r="F2" s="36" t="n">
        <x:v>46229</x:v>
      </x:c>
      <x:c r="G2" s="10" t="str">
        <x:v>팹 cleanroom/subfab/utility/fan deck 구조</x:v>
      </x:c>
      <x:c r="H2" s="10" t="str">
        <x:v>All rights reserved; 사실요약·링크만 사용</x:v>
      </x:c>
      <x:c r="I2" s="10" t="str">
        <x:v>A-</x:v>
      </x:c>
      <x:c r="J2" s="10" t="str">
        <x:v>도면 원본 미복제</x:v>
      </x:c>
    </x:row>
    <x:row r="3">
      <x:c r="A3" s="11" t="str">
        <x:v>SRC02</x:v>
      </x:c>
      <x:c r="B3" s="11" t="str">
        <x:v>NIST</x:v>
      </x:c>
      <x:c r="C3" s="11" t="str">
        <x:v>Boulder Microfabrication Facility</x:v>
      </x:c>
      <x:c r="D3" s="11" t="str">
        <x:v>공공기관 시설설명</x:v>
      </x:c>
      <x:c r="E3" s="11" t="str">
        <x:v>https://www.nist.gov/pml/boulder-microfabrication-facility-tools-capabilities-and-infrastructure</x:v>
      </x:c>
      <x:c r="F3" s="39" t="n">
        <x:v>46229</x:v>
      </x:c>
      <x:c r="G3" s="11" t="str">
        <x:v>가스 캐비닛·배기·주변공기 감시</x:v>
      </x:c>
      <x:c r="H3" s="11" t="str">
        <x:v>미국 연방기관 자료; 제3자 콘텐츠 별도</x:v>
      </x:c>
      <x:c r="I3" s="11" t="str">
        <x:v>A</x:v>
      </x:c>
      <x:c r="J3" s="11"/>
    </x:row>
    <x:row r="4">
      <x:c r="A4" s="11" t="str">
        <x:v>SRC03</x:v>
      </x:c>
      <x:c r="B4" s="11" t="str">
        <x:v>NIST</x:v>
      </x:c>
      <x:c r="C4" s="11" t="str">
        <x:v>Fab Modernization PEA</x:v>
      </x:c>
      <x:c r="D4" s="11" t="str">
        <x:v>공공 환경평가</x:v>
      </x:c>
      <x:c r="E4" s="11" t="str">
        <x:v>https://www.nist.gov/system/files/documents/2024/06/28/Final%20PEA%20for%20Modernization%20and%20Expansion%20of%20Semiconductor%20Fabs%206-28-2024%20-%20OGC-508C.pdf</x:v>
      </x:c>
      <x:c r="F4" s="39" t="n">
        <x:v>46229</x:v>
      </x:c>
      <x:c r="G4" s="11" t="str">
        <x:v>건설단계 화학물·용접가스 위험</x:v>
      </x:c>
      <x:c r="H4" s="11" t="str">
        <x:v>미국 연방기관 자료</x:v>
      </x:c>
      <x:c r="I4" s="11" t="str">
        <x:v>A</x:v>
      </x:c>
      <x:c r="J4" s="11"/>
    </x:row>
    <x:row r="5">
      <x:c r="A5" s="11" t="str">
        <x:v>SRC04</x:v>
      </x:c>
      <x:c r="B5" s="11" t="str">
        <x:v>OSHA</x:v>
      </x:c>
      <x:c r="C5" s="11" t="str">
        <x:v>Semiconductor Device Fabrication</x:v>
      </x:c>
      <x:c r="D5" s="11" t="str">
        <x:v>공공 기술정보</x:v>
      </x:c>
      <x:c r="E5" s="11" t="str">
        <x:v>https://www.osha.gov/semiconductors/silicon/device-fabrication</x:v>
      </x:c>
      <x:c r="F5" s="39" t="n">
        <x:v>46229</x:v>
      </x:c>
      <x:c r="G5" s="11" t="str">
        <x:v>CVD 공정가스 위험</x:v>
      </x:c>
      <x:c r="H5" s="11" t="str">
        <x:v>미국 연방기관 자료</x:v>
      </x:c>
      <x:c r="I5" s="11" t="str">
        <x:v>A</x:v>
      </x:c>
      <x:c r="J5" s="11"/>
    </x:row>
    <x:row r="6">
      <x:c r="A6" s="11" t="str">
        <x:v>SRC05</x:v>
      </x:c>
      <x:c r="B6" s="11" t="str">
        <x:v>Honeywell/System Sensor</x:v>
      </x:c>
      <x:c r="C6" s="11" t="str">
        <x:v>2151/2151T datasheet</x:v>
      </x:c>
      <x:c r="D6" s="11" t="str">
        <x:v>제조사 사양</x:v>
      </x:c>
      <x:c r="E6" s="11" t="str">
        <x:v>https://prod-edam.honeywell.com/content/dam/honeywell-edam/hbt/en-us/documents/literature-and-specs/datasheets/2151_2151T_100_series_DataSheet1.pdf</x:v>
      </x:c>
      <x:c r="F6" s="39" t="n">
        <x:v>46229</x:v>
      </x:c>
      <x:c r="G6" s="11" t="str">
        <x:v>연기감지기 사양</x:v>
      </x:c>
      <x:c r="H6" s="11" t="str">
        <x:v>저작권; 제한된 수치·링크 사용</x:v>
      </x:c>
      <x:c r="I6" s="11" t="str">
        <x:v>A</x:v>
      </x:c>
      <x:c r="J6" s="11"/>
    </x:row>
    <x:row r="7">
      <x:c r="A7" s="11" t="str">
        <x:v>SRC06</x:v>
      </x:c>
      <x:c r="B7" s="11" t="str">
        <x:v>Honeywell</x:v>
      </x:c>
      <x:c r="C7" s="11" t="str">
        <x:v>Sensepoint XCD specifications</x:v>
      </x:c>
      <x:c r="D7" s="11" t="str">
        <x:v>제조사 사양</x:v>
      </x:c>
      <x:c r="E7" s="11" t="str">
        <x:v>https://prod-edam.honeywell.com/content/dam/honeywell-edam/sps/his/en-us/products/gas-and-flame-detection/documents/ss01082_sensepoint_xcd_spec_sheet_1_9_15.pdf</x:v>
      </x:c>
      <x:c r="F7" s="39" t="n">
        <x:v>46229</x:v>
      </x:c>
      <x:c r="G7" s="11" t="str">
        <x:v>CO/H2/LEL 감지기 사양</x:v>
      </x:c>
      <x:c r="H7" s="11" t="str">
        <x:v>저작권; 제한된 수치·링크 사용</x:v>
      </x:c>
      <x:c r="I7" s="11" t="str">
        <x:v>A</x:v>
      </x:c>
      <x:c r="J7" s="11"/>
    </x:row>
    <x:row r="8">
      <x:c r="A8" s="11" t="str">
        <x:v>SRC07</x:v>
      </x:c>
      <x:c r="B8" s="11" t="str">
        <x:v>Honeywell</x:v>
      </x:c>
      <x:c r="C8" s="11" t="str">
        <x:v>MIDAS S2 E-SHX datasheet</x:v>
      </x:c>
      <x:c r="D8" s="11" t="str">
        <x:v>제조사 사양</x:v>
      </x:c>
      <x:c r="E8" s="11" t="str">
        <x:v>https://prod-edam.honeywell.com/content/dam/honeywell-edam/sps/hgas/en-us/products/high-tech-and-semiconductor/midass2/documents/hon-ia-pmc-midas-s2-e-shx-datasheet.pdf</x:v>
      </x:c>
      <x:c r="F8" s="39" t="n">
        <x:v>46229</x:v>
      </x:c>
      <x:c r="G8" s="11" t="str">
        <x:v>실란 감지기 사양</x:v>
      </x:c>
      <x:c r="H8" s="11" t="str">
        <x:v>저작권; 제한된 수치·링크 사용</x:v>
      </x:c>
      <x:c r="I8" s="11" t="str">
        <x:v>A</x:v>
      </x:c>
      <x:c r="J8" s="11"/>
    </x:row>
    <x:row r="9">
      <x:c r="A9" s="11" t="str">
        <x:v>SRC08</x:v>
      </x:c>
      <x:c r="B9" s="11" t="str">
        <x:v>KOSHA</x:v>
      </x:c>
      <x:c r="C9" s="11" t="str">
        <x:v>용접작업시 화재예방 안전대책</x:v>
      </x:c>
      <x:c r="D9" s="11" t="str">
        <x:v>공공 사고사례</x:v>
      </x:c>
      <x:c r="E9" s="11" t="str">
        <x:v>https://oshri.kosha.or.kr/kosha/intro/busanHeadquarters_A.do?articleNo=330328&amp;attachNo=174592&amp;mode=download</x:v>
      </x:c>
      <x:c r="F9" s="39" t="n">
        <x:v>46229</x:v>
      </x:c>
      <x:c r="G9" s="11" t="str">
        <x:v>건설 화기작업 사고</x:v>
      </x:c>
      <x:c r="H9" s="11" t="str">
        <x:v>개방 라이선스 미확인; 사실요약·링크만 사용</x:v>
      </x:c>
      <x:c r="I9" s="11" t="str">
        <x:v>A-</x:v>
      </x:c>
      <x:c r="J9" s="11"/>
    </x:row>
    <x:row r="10">
      <x:c r="A10" s="11" t="str">
        <x:v>SRC09</x:v>
      </x:c>
      <x:c r="B10" s="11" t="str">
        <x:v>OSHA</x:v>
      </x:c>
      <x:c r="C10" s="11" t="str">
        <x:v>Silane gas combustion accident</x:v>
      </x:c>
      <x:c r="D10" s="11" t="str">
        <x:v>공공 사고조사</x:v>
      </x:c>
      <x:c r="E10" s="11" t="str">
        <x:v>https://www.osha.gov/ords/imis/accidentsearch.accident_detail?id=201620275</x:v>
      </x:c>
      <x:c r="F10" s="39" t="n">
        <x:v>46229</x:v>
      </x:c>
      <x:c r="G10" s="11" t="str">
        <x:v>실란 누출 자연발화</x:v>
      </x:c>
      <x:c r="H10" s="11" t="str">
        <x:v>미국 연방기관 자료</x:v>
      </x:c>
      <x:c r="I10" s="11" t="str">
        <x:v>A</x:v>
      </x:c>
      <x:c r="J10" s="11"/>
    </x:row>
    <x:row r="11">
      <x:c r="A11" s="11" t="str">
        <x:v>SRC10</x:v>
      </x:c>
      <x:c r="B11" s="11" t="str">
        <x:v>OSHA</x:v>
      </x:c>
      <x:c r="C11" s="11" t="str">
        <x:v>Micrel Semiconductor exhaust explosion</x:v>
      </x:c>
      <x:c r="D11" s="11" t="str">
        <x:v>공공 사고조사</x:v>
      </x:c>
      <x:c r="E11" s="11" t="str">
        <x:v>https://www.osha.gov/ords/imis/establishment.inspection_detail?id=119648343</x:v>
      </x:c>
      <x:c r="F11" s="39" t="n">
        <x:v>46229</x:v>
      </x:c>
      <x:c r="G11" s="11" t="str">
        <x:v>배기라인 폭발</x:v>
      </x:c>
      <x:c r="H11" s="11" t="str">
        <x:v>미국 연방기관 자료</x:v>
      </x:c>
      <x:c r="I11" s="11" t="str">
        <x:v>A</x:v>
      </x:c>
      <x:c r="J11" s="11"/>
    </x:row>
    <x:row r="12">
      <x:c r="A12" s="11" t="str">
        <x:v>SRC11</x:v>
      </x:c>
      <x:c r="B12" s="11" t="str">
        <x:v>CSB</x:v>
      </x:c>
      <x:c r="C12" s="11" t="str">
        <x:v>AB Specialty Silicones</x:v>
      </x:c>
      <x:c r="D12" s="11" t="str">
        <x:v>공공 사고조사</x:v>
      </x:c>
      <x:c r="E12" s="11" t="str">
        <x:v>https://www.csb.gov/ab-specialty-silicones-llc/</x:v>
      </x:c>
      <x:c r="F12" s="39" t="n">
        <x:v>46229</x:v>
      </x:c>
      <x:c r="G12" s="11" t="str">
        <x:v>수소 축적 폭발 유사사례</x:v>
      </x:c>
      <x:c r="H12" s="11" t="str">
        <x:v>미국 연방기관 자료</x:v>
      </x:c>
      <x:c r="I12" s="11" t="str">
        <x:v>A</x:v>
      </x:c>
      <x:c r="J12" s="11" t="str">
        <x:v>반도체 직접사례 아님</x:v>
      </x:c>
    </x:row>
    <x:row r="13">
      <x:c r="A13" s="11" t="str">
        <x:v>SRC12</x:v>
      </x:c>
      <x:c r="B13" s="11" t="str">
        <x:v>국가법령정보센터</x:v>
      </x:c>
      <x:c r="C13" s="11" t="str">
        <x:v>안전보건규칙 제232조</x:v>
      </x:c>
      <x:c r="D13" s="11" t="str">
        <x:v>현행 법령</x:v>
      </x:c>
      <x:c r="E13" s="11" t="str">
        <x:v>https://www.law.go.kr/lsLinkCommonInfo.do?lsJoLnkSeq=1028063319</x:v>
      </x:c>
      <x:c r="F13" s="39" t="n">
        <x:v>46229</x:v>
      </x:c>
      <x:c r="G13" s="11" t="str">
        <x:v>가스 검지·경보 의무</x:v>
      </x:c>
      <x:c r="H13" s="11" t="str">
        <x:v>출처표시 사실요약</x:v>
      </x:c>
      <x:c r="I13" s="11" t="str">
        <x:v>A+</x:v>
      </x:c>
      <x:c r="J13" s="11"/>
    </x:row>
    <x:row r="14">
      <x:c r="A14" s="11" t="str">
        <x:v>SRC13</x:v>
      </x:c>
      <x:c r="B14" s="11" t="str">
        <x:v>국가법령정보센터</x:v>
      </x:c>
      <x:c r="C14" s="11" t="str">
        <x:v>안전보건규칙 제299조</x:v>
      </x:c>
      <x:c r="D14" s="11" t="str">
        <x:v>현행 법령</x:v>
      </x:c>
      <x:c r="E14" s="11" t="str">
        <x:v>https://law.go.kr/LSW/lsLinkCommonInfo.do?lsJoLnkSeq=1020528783</x:v>
      </x:c>
      <x:c r="F14" s="39" t="n">
        <x:v>46229</x:v>
      </x:c>
      <x:c r="G14" s="11" t="str">
        <x:v>독성물질 누출 감지</x:v>
      </x:c>
      <x:c r="H14" s="11" t="str">
        <x:v>출처표시 사실요약</x:v>
      </x:c>
      <x:c r="I14" s="11" t="str">
        <x:v>A+</x:v>
      </x:c>
      <x:c r="J14" s="11"/>
    </x:row>
    <x:row r="15">
      <x:c r="A15" s="11" t="str">
        <x:v>SRC14</x:v>
      </x:c>
      <x:c r="B15" s="11" t="str">
        <x:v>국가법령정보센터</x:v>
      </x:c>
      <x:c r="C15" s="11" t="str">
        <x:v>NFPC 203</x:v>
      </x:c>
      <x:c r="D15" s="11" t="str">
        <x:v>현행 행정규칙</x:v>
      </x:c>
      <x:c r="E15" s="11" t="str">
        <x:v>https://www.law.go.kr/LSW/admRulInfoP.do?admRulSeq=2100000269850&amp;chrClsCd=010201</x:v>
      </x:c>
      <x:c r="F15" s="39" t="n">
        <x:v>46229</x:v>
      </x:c>
      <x:c r="G15" s="11" t="str">
        <x:v>화재감지기 설치</x:v>
      </x:c>
      <x:c r="H15" s="11" t="str">
        <x:v>출처표시 사실요약</x:v>
      </x:c>
      <x:c r="I15" s="11" t="str">
        <x:v>A+</x:v>
      </x:c>
      <x:c r="J15" s="11"/>
    </x:row>
    <x:row r="16">
      <x:c r="A16" s="12" t="str">
        <x:v>SRC15</x:v>
      </x:c>
      <x:c r="B16" s="12" t="str">
        <x:v>IonQ</x:v>
      </x:c>
      <x:c r="C16" s="12" t="str">
        <x:v>Aria/Forte official specifications</x:v>
      </x:c>
      <x:c r="D16" s="12" t="str">
        <x:v>제조사 공식 페이지</x:v>
      </x:c>
      <x:c r="E16" s="12" t="str">
        <x:v>https://www.ionq.com/resources/ionq-aria-practical-performance</x:v>
      </x:c>
      <x:c r="F16" s="42" t="n">
        <x:v>46229</x:v>
      </x:c>
      <x:c r="G16" s="12" t="str">
        <x:v>QPU 평균 성능값</x:v>
      </x:c>
      <x:c r="H16" s="12" t="str">
        <x:v>저작권; 제한된 수치·링크 사용</x:v>
      </x:c>
      <x:c r="I16" s="12" t="str">
        <x:v>A</x:v>
      </x:c>
      <x:c r="J16" s="12" t="str">
        <x:v>실행시점 metadata 우선</x:v>
      </x:c>
    </x:row>
  </x:sheetData>
  <x:pageMargins left="0.7" right="0.7" top="0.75" bottom="0.75" header="0.3" footer="0.3"/>
  <x:tableParts count="1">
    <x:tablePart xmlns:r="http://schemas.openxmlformats.org/officeDocument/2006/relationships" r:id="R6da3c7d98bd44c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65" hidden="0" customWidth="1"/>
    <x:col min="4" max="4" width="10" hidden="0" customWidth="1"/>
    <x:col min="5" max="5" width="11" hidden="0" customWidth="1"/>
    <x:col min="6" max="6" width="20" hidden="0" customWidth="1"/>
    <x:col min="7" max="7" width="30" hidden="0" customWidth="1"/>
  </x:cols>
  <x:sheetData>
    <x:row r="1" ht="34" customHeight="1">
      <x:c r="A1" s="8" t="str">
        <x:v>sheet</x:v>
      </x:c>
      <x:c r="B1" s="14" t="str">
        <x:v>column</x:v>
      </x:c>
      <x:c r="C1" s="14" t="str">
        <x:v>정의</x:v>
      </x:c>
      <x:c r="D1" s="14" t="str">
        <x:v>타입</x:v>
      </x:c>
      <x:c r="E1" s="14" t="str">
        <x:v>단위</x:v>
      </x:c>
      <x:c r="F1" s="14" t="str">
        <x:v>실제_파생</x:v>
      </x:c>
      <x:c r="G1" s="9" t="str">
        <x:v>결측처리</x:v>
      </x:c>
    </x:row>
    <x:row r="2">
      <x:c r="A2" s="10" t="str">
        <x:v>구역원자료</x:v>
      </x:c>
      <x:c r="B2" s="10" t="str">
        <x:v>zone_id</x:v>
      </x:c>
      <x:c r="C2" s="10" t="str">
        <x:v>연구용 구역 고유 ID</x:v>
      </x:c>
      <x:c r="D2" s="10" t="str">
        <x:v>text</x:v>
      </x:c>
      <x:c r="E2" s="10"/>
      <x:c r="F2" s="10" t="str">
        <x:v>합성 원자료</x:v>
      </x:c>
      <x:c r="G2" s="10" t="str">
        <x:v>필수</x:v>
      </x:c>
    </x:row>
    <x:row r="3">
      <x:c r="A3" s="11" t="str">
        <x:v>구역원자료</x:v>
      </x:c>
      <x:c r="B3" s="11" t="str">
        <x:v>x_m/y_m/width_m/height_m</x:v>
      </x:c>
      <x:c r="C3" s="11" t="str">
        <x:v>가상 60×40 m 평면 좌표·크기</x:v>
      </x:c>
      <x:c r="D3" s="11" t="str">
        <x:v>number</x:v>
      </x:c>
      <x:c r="E3" s="11" t="str">
        <x:v>m</x:v>
      </x:c>
      <x:c r="F3" s="11" t="str">
        <x:v>합성 원자료</x:v>
      </x:c>
      <x:c r="G3" s="11" t="str">
        <x:v>필수</x:v>
      </x:c>
    </x:row>
    <x:row r="4">
      <x:c r="A4" s="11" t="str">
        <x:v>센서후보</x:v>
      </x:c>
      <x:c r="B4" s="11" t="str">
        <x:v>candidate_id</x:v>
      </x:c>
      <x:c r="C4" s="11" t="str">
        <x:v>센서 후보점 고유 ID</x:v>
      </x:c>
      <x:c r="D4" s="11" t="str">
        <x:v>text</x:v>
      </x:c>
      <x:c r="E4" s="11"/>
      <x:c r="F4" s="11" t="str">
        <x:v>합성 원자료</x:v>
      </x:c>
      <x:c r="G4" s="11" t="str">
        <x:v>필수</x:v>
      </x:c>
    </x:row>
    <x:row r="5">
      <x:c r="A5" s="11" t="str">
        <x:v>커버리지행렬</x:v>
      </x:c>
      <x:c r="B5" s="11" t="str">
        <x:v>distance_m_계산</x:v>
      </x:c>
      <x:c r="C5" s="11" t="str">
        <x:v>후보점과 구역 중심 간 유클리드 거리</x:v>
      </x:c>
      <x:c r="D5" s="11" t="str">
        <x:v>formula</x:v>
      </x:c>
      <x:c r="E5" s="11" t="str">
        <x:v>m</x:v>
      </x:c>
      <x:c r="F5" s="11" t="str">
        <x:v>파생</x:v>
      </x:c>
      <x:c r="G5" s="11" t="str">
        <x:v>수식</x:v>
      </x:c>
    </x:row>
    <x:row r="6">
      <x:c r="A6" s="11" t="str">
        <x:v>커버리지행렬</x:v>
      </x:c>
      <x:c r="B6" s="11" t="str">
        <x:v>cover_*_계산</x:v>
      </x:c>
      <x:c r="C6" s="11" t="str">
        <x:v>거리≤시나리오 반경이면 1</x:v>
      </x:c>
      <x:c r="D6" s="11" t="str">
        <x:v>formula</x:v>
      </x:c>
      <x:c r="E6" s="11" t="str">
        <x:v>0/1</x:v>
      </x:c>
      <x:c r="F6" s="11" t="str">
        <x:v>파생</x:v>
      </x:c>
      <x:c r="G6" s="11" t="str">
        <x:v>수식</x:v>
      </x:c>
    </x:row>
    <x:row r="7">
      <x:c r="A7" s="11" t="str">
        <x:v>센서상세</x:v>
      </x:c>
      <x:c r="B7" s="11" t="str">
        <x:v>공식커버리지반경_m</x:v>
      </x:c>
      <x:c r="C7" s="11" t="str">
        <x:v>제조사가 명시한 보편 커버리지 반경</x:v>
      </x:c>
      <x:c r="D7" s="11" t="str">
        <x:v>number</x:v>
      </x:c>
      <x:c r="E7" s="11" t="str">
        <x:v>m</x:v>
      </x:c>
      <x:c r="F7" s="11" t="str">
        <x:v>출처 사실</x:v>
      </x:c>
      <x:c r="G7" s="11" t="str">
        <x:v>미공개면 빈값</x:v>
      </x:c>
    </x:row>
    <x:row r="8">
      <x:c r="A8" s="11" t="str">
        <x:v>센서상세</x:v>
      </x:c>
      <x:c r="B8" s="11" t="str">
        <x:v>QUBO반경_*_m</x:v>
      </x:c>
      <x:c r="C8" s="11" t="str">
        <x:v>알고리즘 민감도 분석용 가정</x:v>
      </x:c>
      <x:c r="D8" s="11" t="str">
        <x:v>number</x:v>
      </x:c>
      <x:c r="E8" s="11" t="str">
        <x:v>m</x:v>
      </x:c>
      <x:c r="F8" s="11" t="str">
        <x:v>가정</x:v>
      </x:c>
      <x:c r="G8" s="11" t="str">
        <x:v>필수</x:v>
      </x:c>
    </x:row>
    <x:row r="9">
      <x:c r="A9" s="11" t="str">
        <x:v>센서상세</x:v>
      </x:c>
      <x:c r="B9" s="11" t="str">
        <x:v>장비가_원_계산</x:v>
      </x:c>
      <x:c r="C9" s="11" t="str">
        <x:v>공개 USD 가격×계획환율</x:v>
      </x:c>
      <x:c r="D9" s="11" t="str">
        <x:v>formula</x:v>
      </x:c>
      <x:c r="E9" s="11" t="str">
        <x:v>KRW</x:v>
      </x:c>
      <x:c r="F9" s="11" t="str">
        <x:v>파생</x:v>
      </x:c>
      <x:c r="G9" s="11" t="str">
        <x:v>수식</x:v>
      </x:c>
    </x:row>
    <x:row r="10">
      <x:c r="A10" s="11" t="str">
        <x:v>센서상세</x:v>
      </x:c>
      <x:c r="B10" s="11" t="str">
        <x:v>설치비_원</x:v>
      </x:c>
      <x:c r="C10" s="11" t="str">
        <x:v>배선·제어반·교정·시공 포함 견적</x:v>
      </x:c>
      <x:c r="D10" s="11" t="str">
        <x:v>number</x:v>
      </x:c>
      <x:c r="E10" s="11" t="str">
        <x:v>KRW</x:v>
      </x:c>
      <x:c r="F10" s="11" t="str">
        <x:v>미확보</x:v>
      </x:c>
      <x:c r="G10" s="11" t="str">
        <x:v>NA/빈값+한계</x:v>
      </x:c>
    </x:row>
    <x:row r="11">
      <x:c r="A11" s="11" t="str">
        <x:v>사고시나리오</x:v>
      </x:c>
      <x:c r="B11" s="11" t="str">
        <x:v>실제사고여부</x:v>
      </x:c>
      <x:c r="C11" s="11" t="str">
        <x:v>사고조사 기록인지 물리/위험 시나리오인지 구분</x:v>
      </x:c>
      <x:c r="D11" s="11" t="str">
        <x:v>category</x:v>
      </x:c>
      <x:c r="E11" s="11"/>
      <x:c r="F11" s="11" t="str">
        <x:v>분류</x:v>
      </x:c>
      <x:c r="G11" s="11" t="str">
        <x:v>필수</x:v>
      </x:c>
    </x:row>
    <x:row r="12">
      <x:c r="A12" s="11" t="str">
        <x:v>사고시나리오</x:v>
      </x:c>
      <x:c r="B12" s="11" t="str">
        <x:v>feature_*</x:v>
      </x:c>
      <x:c r="C12" s="11" t="str">
        <x:v>초기 규칙 기반 위험점수용 이진 특징</x:v>
      </x:c>
      <x:c r="D12" s="11" t="str">
        <x:v>integer</x:v>
      </x:c>
      <x:c r="E12" s="11" t="str">
        <x:v>0/1</x:v>
      </x:c>
      <x:c r="F12" s="11" t="str">
        <x:v>정제</x:v>
      </x:c>
      <x:c r="G12" s="11" t="str">
        <x:v>미상은 빈값</x:v>
      </x:c>
    </x:row>
    <x:row r="13">
      <x:c r="A13" s="11" t="str">
        <x:v>법규기준</x:v>
      </x:c>
      <x:c r="B13" s="11" t="str">
        <x:v>hard_soft</x:v>
      </x:c>
      <x:c r="C13" s="11" t="str">
        <x:v>QUBO hard/soft/parameter 변환 제안</x:v>
      </x:c>
      <x:c r="D13" s="11" t="str">
        <x:v>category</x:v>
      </x:c>
      <x:c r="E13" s="11"/>
      <x:c r="F13" s="11" t="str">
        <x:v>해석</x:v>
      </x:c>
      <x:c r="G13" s="11" t="str">
        <x:v>필수</x:v>
      </x:c>
    </x:row>
    <x:row r="14">
      <x:c r="A14" s="11" t="str">
        <x:v>IonQ파라미터</x:v>
      </x:c>
      <x:c r="B14" s="11" t="str">
        <x:v>1Q/2Q오류율_pct</x:v>
      </x:c>
      <x:c r="C14" s="11" t="str">
        <x:v>IonQ 공식 공개 평균 게이트 오류율</x:v>
      </x:c>
      <x:c r="D14" s="11" t="str">
        <x:v>number</x:v>
      </x:c>
      <x:c r="E14" s="11" t="str">
        <x:v>%</x:v>
      </x:c>
      <x:c r="F14" s="11" t="str">
        <x:v>출처 사실</x:v>
      </x:c>
      <x:c r="G14" s="11" t="str">
        <x:v>미공개면 빈값</x:v>
      </x:c>
    </x:row>
    <x:row r="15">
      <x:c r="A15" s="11" t="str">
        <x:v>IonQ파라미터</x:v>
      </x:c>
      <x:c r="B15" s="11" t="str">
        <x:v>1Q/2Q충실도_pct_계산</x:v>
      </x:c>
      <x:c r="C15" s="11" t="str">
        <x:v>100-오류율</x:v>
      </x:c>
      <x:c r="D15" s="11" t="str">
        <x:v>formula</x:v>
      </x:c>
      <x:c r="E15" s="11" t="str">
        <x:v>%</x:v>
      </x:c>
      <x:c r="F15" s="11" t="str">
        <x:v>파생</x:v>
      </x:c>
      <x:c r="G15" s="11" t="str">
        <x:v>수식</x:v>
      </x:c>
    </x:row>
    <x:row r="16">
      <x:c r="A16" s="11" t="str">
        <x:v>출처</x:v>
      </x:c>
      <x:c r="B16" s="11" t="str">
        <x:v>품질등급</x:v>
      </x:c>
      <x:c r="C16" s="11" t="str">
        <x:v>A+=현행 법령, A=공식기관/제조사, A-=산업협회·라이선스 제한</x:v>
      </x:c>
      <x:c r="D16" s="11" t="str">
        <x:v>category</x:v>
      </x:c>
      <x:c r="E16" s="11"/>
      <x:c r="F16" s="11" t="str">
        <x:v>평가</x:v>
      </x:c>
      <x:c r="G16" s="11" t="str">
        <x:v>필수</x:v>
      </x:c>
    </x:row>
    <x:row r="17">
      <x:c r="A17" s="11" t="str">
        <x:v>공통</x:v>
      </x:c>
      <x:c r="B17" s="11" t="str">
        <x:v>확인일</x:v>
      </x:c>
      <x:c r="C17" s="11" t="str">
        <x:v>원문을 마지막으로 확인한 날짜</x:v>
      </x:c>
      <x:c r="D17" s="11" t="str">
        <x:v>date</x:v>
      </x:c>
      <x:c r="E17" s="11" t="str">
        <x:v>yyyy-mm-dd</x:v>
      </x:c>
      <x:c r="F17" s="11" t="str">
        <x:v>메타데이터</x:v>
      </x:c>
      <x:c r="G17" s="11" t="str">
        <x:v>필수</x:v>
      </x:c>
    </x:row>
    <x:row r="18">
      <x:c r="A18" s="12" t="str">
        <x:v>공통</x:v>
      </x:c>
      <x:c r="B18" s="12" t="str">
        <x:v>한계</x:v>
      </x:c>
      <x:c r="C18" s="12" t="str">
        <x:v>자료의 적용 범위·결측·추정 금지 사항</x:v>
      </x:c>
      <x:c r="D18" s="12" t="str">
        <x:v>text</x:v>
      </x:c>
      <x:c r="E18" s="12"/>
      <x:c r="F18" s="12" t="str">
        <x:v>메타데이터</x:v>
      </x:c>
      <x:c r="G18" s="12" t="str">
        <x:v>필수</x:v>
      </x:c>
    </x:row>
  </x:sheetData>
  <x:pageMargins left="0.7" right="0.7" top="0.75" bottom="0.75" header="0.3" footer="0.3"/>
  <x:tableParts count="1">
    <x:tablePart xmlns:r="http://schemas.openxmlformats.org/officeDocument/2006/relationships" r:id="R1991e83c101747d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26" hidden="0" customWidth="1"/>
    <x:col min="4" max="4" width="10" hidden="0" customWidth="1"/>
    <x:col min="5" max="5" width="10" hidden="0" customWidth="1"/>
    <x:col min="6" max="6" width="58" hidden="0" customWidth="1"/>
  </x:cols>
  <x:sheetData>
    <x:row r="1" ht="34" customHeight="1">
      <x:c r="A1" s="8" t="str">
        <x:v>check_id</x:v>
      </x:c>
      <x:c r="B1" s="14" t="str">
        <x:v>검사항목</x:v>
      </x:c>
      <x:c r="C1" s="14" t="str">
        <x:v>대상</x:v>
      </x:c>
      <x:c r="D1" s="14" t="str">
        <x:v>결과</x:v>
      </x:c>
      <x:c r="E1" s="14" t="str">
        <x:v>측정값</x:v>
      </x:c>
      <x:c r="F1" s="9" t="str">
        <x:v>조치_비고</x:v>
      </x:c>
    </x:row>
    <x:row r="2">
      <x:c r="A2" s="10" t="str">
        <x:v>Q01</x:v>
      </x:c>
      <x:c r="B2" s="10" t="str">
        <x:v>엄격한 UTF-8 디코딩</x:v>
      </x:c>
      <x:c r="C2" s="10" t="str">
        <x:v>원본 CSV 5개</x:v>
      </x:c>
      <x:c r="D2" s="10" t="str">
        <x:v>PASS</x:v>
      </x:c>
      <x:c r="E2" s="10" t="n">
        <x:v>5</x:v>
      </x:c>
      <x:c r="F2" s="10" t="str">
        <x:v>모든 파일 strict UTF-8</x:v>
      </x:c>
    </x:row>
    <x:row r="3">
      <x:c r="A3" s="11" t="str">
        <x:v>Q02</x:v>
      </x:c>
      <x:c r="B3" s="11" t="str">
        <x:v>UTF-8 BOM</x:v>
      </x:c>
      <x:c r="C3" s="11" t="str">
        <x:v>Excel 호환 CSV 5개</x:v>
      </x:c>
      <x:c r="D3" s="11" t="str">
        <x:v>PASS</x:v>
      </x:c>
      <x:c r="E3" s="11" t="n">
        <x:v>5</x:v>
      </x:c>
      <x:c r="F3" s="11" t="str">
        <x:v>신규 *_excel_utf8.csv에 BOM 추가</x:v>
      </x:c>
    </x:row>
    <x:row r="4">
      <x:c r="A4" s="11" t="str">
        <x:v>Q03</x:v>
      </x:c>
      <x:c r="B4" s="11" t="str">
        <x:v>연속 물음표 3개</x:v>
      </x:c>
      <x:c r="C4" s="11" t="str">
        <x:v>모든 텍스트·테이블</x:v>
      </x:c>
      <x:c r="D4" s="11" t="str">
        <x:v>PASS</x:v>
      </x:c>
      <x:c r="E4" s="11" t="n">
        <x:v>0</x:v>
      </x:c>
      <x:c r="F4" s="11" t="str">
        <x:v>발견 없음</x:v>
      </x:c>
    </x:row>
    <x:row r="5">
      <x:c r="A5" s="11" t="str">
        <x:v>Q04</x:v>
      </x:c>
      <x:c r="B5" s="11" t="str">
        <x:v>Unicode 대체문자 U+FFFD</x:v>
      </x:c>
      <x:c r="C5" s="11" t="str">
        <x:v>모든 텍스트·테이블</x:v>
      </x:c>
      <x:c r="D5" s="11" t="str">
        <x:v>PASS</x:v>
      </x:c>
      <x:c r="E5" s="11" t="n">
        <x:v>0</x:v>
      </x:c>
      <x:c r="F5" s="11" t="str">
        <x:v>발견 없음</x:v>
      </x:c>
    </x:row>
    <x:row r="6">
      <x:c r="A6" s="11" t="str">
        <x:v>Q05</x:v>
      </x:c>
      <x:c r="B6" s="11" t="str">
        <x:v>대표 모지바케 패턴</x:v>
      </x:c>
      <x:c r="C6" s="11" t="str">
        <x:v>모든 텍스트·테이블</x:v>
      </x:c>
      <x:c r="D6" s="11" t="str">
        <x:v>PASS</x:v>
      </x:c>
      <x:c r="E6" s="11" t="n">
        <x:v>0</x:v>
      </x:c>
      <x:c r="F6" s="11" t="str">
        <x:v>발견 없음</x:v>
      </x:c>
    </x:row>
    <x:row r="7">
      <x:c r="A7" s="11" t="str">
        <x:v>Q06</x:v>
      </x:c>
      <x:c r="B7" s="11" t="str">
        <x:v>구역 고유 ID</x:v>
      </x:c>
      <x:c r="C7" s="11" t="str">
        <x:v>구역원자료</x:v>
      </x:c>
      <x:c r="D7" s="11" t="str">
        <x:v>PASS</x:v>
      </x:c>
      <x:c r="E7" s="11" t="n">
        <x:v>12</x:v>
      </x:c>
      <x:c r="F7" s="11" t="str">
        <x:v>12개 고유</x:v>
      </x:c>
    </x:row>
    <x:row r="8">
      <x:c r="A8" s="11" t="str">
        <x:v>Q07</x:v>
      </x:c>
      <x:c r="B8" s="11" t="str">
        <x:v>후보점 고유 ID</x:v>
      </x:c>
      <x:c r="C8" s="11" t="str">
        <x:v>센서후보</x:v>
      </x:c>
      <x:c r="D8" s="11" t="str">
        <x:v>PASS</x:v>
      </x:c>
      <x:c r="E8" s="11" t="n">
        <x:v>12</x:v>
      </x:c>
      <x:c r="F8" s="11" t="str">
        <x:v>12개 고유</x:v>
      </x:c>
    </x:row>
    <x:row r="9">
      <x:c r="A9" s="11" t="str">
        <x:v>Q08</x:v>
      </x:c>
      <x:c r="B9" s="11" t="str">
        <x:v>후보-구역 완전행렬</x:v>
      </x:c>
      <x:c r="C9" s="11" t="str">
        <x:v>커버리지행렬</x:v>
      </x:c>
      <x:c r="D9" s="11" t="str">
        <x:v>PASS</x:v>
      </x:c>
      <x:c r="E9" s="11" t="n">
        <x:v>144</x:v>
      </x:c>
      <x:c r="F9" s="11" t="str">
        <x:v>12×12=144행</x:v>
      </x:c>
    </x:row>
    <x:row r="10">
      <x:c r="A10" s="11" t="str">
        <x:v>Q09</x:v>
      </x:c>
      <x:c r="B10" s="11" t="str">
        <x:v>센서 상세 행</x:v>
      </x:c>
      <x:c r="C10" s="11" t="str">
        <x:v>센서상세</x:v>
      </x:c>
      <x:c r="D10" s="11" t="str">
        <x:v>PASS</x:v>
      </x:c>
      <x:c r="E10" s="11" t="n">
        <x:v>6</x:v>
      </x:c>
      <x:c r="F10" s="11" t="str">
        <x:v>6개 제품/구성</x:v>
      </x:c>
    </x:row>
    <x:row r="11">
      <x:c r="A11" s="11" t="str">
        <x:v>Q10</x:v>
      </x:c>
      <x:c r="B11" s="11" t="str">
        <x:v>사고·물리 시나리오</x:v>
      </x:c>
      <x:c r="C11" s="11" t="str">
        <x:v>사고시나리오</x:v>
      </x:c>
      <x:c r="D11" s="11" t="str">
        <x:v>PASS</x:v>
      </x:c>
      <x:c r="E11" s="11" t="n">
        <x:v>10</x:v>
      </x:c>
      <x:c r="F11" s="11" t="str">
        <x:v>실제사고와 가상 시나리오 분리</x:v>
      </x:c>
    </x:row>
    <x:row r="12">
      <x:c r="A12" s="11" t="str">
        <x:v>Q11</x:v>
      </x:c>
      <x:c r="B12" s="11" t="str">
        <x:v>법규 기준</x:v>
      </x:c>
      <x:c r="C12" s="11" t="str">
        <x:v>법규기준</x:v>
      </x:c>
      <x:c r="D12" s="11" t="str">
        <x:v>PASS</x:v>
      </x:c>
      <x:c r="E12" s="11" t="n">
        <x:v>9</x:v>
      </x:c>
      <x:c r="F12" s="11" t="str">
        <x:v>현행 법령·지침·NFPC 구분</x:v>
      </x:c>
    </x:row>
    <x:row r="13">
      <x:c r="A13" s="11" t="str">
        <x:v>Q12</x:v>
      </x:c>
      <x:c r="B13" s="11" t="str">
        <x:v>IonQ 시스템</x:v>
      </x:c>
      <x:c r="C13" s="11" t="str">
        <x:v>IonQ파라미터</x:v>
      </x:c>
      <x:c r="D13" s="11" t="str">
        <x:v>PASS</x:v>
      </x:c>
      <x:c r="E13" s="11" t="n">
        <x:v>2</x:v>
      </x:c>
      <x:c r="F13" s="11" t="str">
        <x:v>Aria/Forte 공식 평균값</x:v>
      </x:c>
    </x:row>
    <x:row r="14">
      <x:c r="A14" s="11" t="str">
        <x:v>Q13</x:v>
      </x:c>
      <x:c r="B14" s="11" t="str">
        <x:v>출처 URL</x:v>
      </x:c>
      <x:c r="C14" s="11" t="str">
        <x:v>출처</x:v>
      </x:c>
      <x:c r="D14" s="11" t="str">
        <x:v>PASS</x:v>
      </x:c>
      <x:c r="E14" s="11" t="n">
        <x:v>15</x:v>
      </x:c>
      <x:c r="F14" s="11" t="str">
        <x:v>15개 원문 URL</x:v>
      </x:c>
    </x:row>
    <x:row r="15">
      <x:c r="A15" s="11" t="str">
        <x:v>Q14</x:v>
      </x:c>
      <x:c r="B15" s="11" t="str">
        <x:v>숫자/날짜 셀 타입</x:v>
      </x:c>
      <x:c r="C15" s="11" t="str">
        <x:v>전체</x:v>
      </x:c>
      <x:c r="D15" s="11" t="str">
        <x:v>PASS</x:v>
      </x:c>
      <x:c r="E15" s="11"/>
      <x:c r="F15" s="11" t="str">
        <x:v>숫자·날짜를 문자열과 분리</x:v>
      </x:c>
    </x:row>
    <x:row r="16">
      <x:c r="A16" s="11" t="str">
        <x:v>Q15</x:v>
      </x:c>
      <x:c r="B16" s="11" t="str">
        <x:v>수식 오류</x:v>
      </x:c>
      <x:c r="C16" s="11" t="str">
        <x:v>계산열</x:v>
      </x:c>
      <x:c r="D16" s="11" t="str">
        <x:v>PASS</x:v>
      </x:c>
      <x:c r="E16" s="11" t="n">
        <x:v>0</x:v>
      </x:c>
      <x:c r="F16" s="11" t="str">
        <x:v>inspect 수식 오류 0건</x:v>
      </x:c>
    </x:row>
    <x:row r="17">
      <x:c r="A17" s="11" t="str">
        <x:v>Q16</x:v>
      </x:c>
      <x:c r="B17" s="11" t="str">
        <x:v>시각 렌더</x:v>
      </x:c>
      <x:c r="C17" s="11" t="str">
        <x:v>전체 시트</x:v>
      </x:c>
      <x:c r="D17" s="11" t="str">
        <x:v>PASS</x:v>
      </x:c>
      <x:c r="E17" s="11" t="n">
        <x:v>11</x:v>
      </x:c>
      <x:c r="F17" s="11" t="str">
        <x:v>모든 시트 대표 범위 렌더 완료</x:v>
      </x:c>
    </x:row>
    <x:row r="18">
      <x:c r="A18" s="12" t="str">
        <x:v>Q17</x:v>
      </x:c>
      <x:c r="B18" s="12" t="str">
        <x:v>원자료 보존</x:v>
      </x:c>
      <x:c r="C18" s="12" t="str">
        <x:v>기존 CSV</x:v>
      </x:c>
      <x:c r="D18" s="12" t="str">
        <x:v>PASS</x:v>
      </x:c>
      <x:c r="E18" s="12" t="n">
        <x:v>12</x:v>
      </x:c>
      <x:c r="F18" s="12" t="str">
        <x:v>기존 파일 미덮어쓰기; 새 정본 생성</x:v>
      </x:c>
    </x:row>
  </x:sheetData>
  <x:conditionalFormatting sqref="D2:D18">
    <x:cfRule type="containsText" dxfId="0" priority="1" operator="containsText" text="PASS"/>
    <x:cfRule type="containsText" dxfId="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835ca8ba611641f1"/>
  </x:tableParts>
</x:worksheet>
</file>